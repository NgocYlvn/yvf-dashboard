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YVF_Dashboard\YVF_Dashboard_Final\data\"/>
    </mc:Choice>
  </mc:AlternateContent>
  <xr:revisionPtr revIDLastSave="0" documentId="8_{3E65CEDA-96D3-4DA2-81DB-34C7FC8D463C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Data_Booking" sheetId="1" r:id="rId1"/>
    <sheet name="Data_SI" sheetId="2" r:id="rId2"/>
    <sheet name="Data_CustomerActive" sheetId="3" r:id="rId3"/>
    <sheet name="Data_Issue" sheetId="4" r:id="rId4"/>
    <sheet name="Customer_Feedback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" i="3" l="1"/>
  <c r="F100" i="3"/>
  <c r="G100" i="3" s="1"/>
  <c r="H99" i="3"/>
  <c r="F99" i="3"/>
  <c r="G99" i="3" s="1"/>
  <c r="H98" i="3"/>
  <c r="F98" i="3"/>
  <c r="G98" i="3" s="1"/>
  <c r="H97" i="3"/>
  <c r="F97" i="3"/>
  <c r="G97" i="3" s="1"/>
  <c r="H96" i="3"/>
  <c r="F96" i="3"/>
  <c r="G96" i="3" s="1"/>
  <c r="H95" i="3"/>
  <c r="F95" i="3"/>
  <c r="G95" i="3" s="1"/>
  <c r="H94" i="3"/>
  <c r="F94" i="3"/>
  <c r="G94" i="3" s="1"/>
  <c r="H93" i="3"/>
  <c r="F93" i="3"/>
  <c r="G93" i="3" s="1"/>
  <c r="H92" i="3"/>
  <c r="F92" i="3"/>
  <c r="G92" i="3" s="1"/>
  <c r="H91" i="3"/>
  <c r="F91" i="3"/>
  <c r="G91" i="3" s="1"/>
  <c r="H90" i="3"/>
  <c r="F90" i="3"/>
  <c r="G90" i="3" s="1"/>
  <c r="H89" i="3"/>
  <c r="F89" i="3"/>
  <c r="G89" i="3" s="1"/>
  <c r="H88" i="3"/>
  <c r="F88" i="3"/>
  <c r="G88" i="3" s="1"/>
  <c r="H87" i="3"/>
  <c r="F87" i="3"/>
  <c r="G87" i="3" s="1"/>
  <c r="H86" i="3"/>
  <c r="F86" i="3"/>
  <c r="G86" i="3" s="1"/>
  <c r="H85" i="3"/>
  <c r="F85" i="3"/>
  <c r="G85" i="3" s="1"/>
  <c r="H84" i="3"/>
  <c r="F84" i="3"/>
  <c r="G84" i="3" s="1"/>
  <c r="H83" i="3"/>
  <c r="F83" i="3"/>
  <c r="G83" i="3" s="1"/>
  <c r="H82" i="3"/>
  <c r="F82" i="3"/>
  <c r="G82" i="3" s="1"/>
  <c r="H81" i="3"/>
  <c r="F81" i="3"/>
  <c r="G81" i="3" s="1"/>
  <c r="H80" i="3"/>
  <c r="F80" i="3"/>
  <c r="G80" i="3" s="1"/>
  <c r="H79" i="3"/>
  <c r="F79" i="3"/>
  <c r="G79" i="3" s="1"/>
  <c r="H78" i="3"/>
  <c r="F78" i="3"/>
  <c r="G78" i="3" s="1"/>
  <c r="H77" i="3"/>
  <c r="F77" i="3"/>
  <c r="G77" i="3" s="1"/>
  <c r="H76" i="3"/>
  <c r="F76" i="3"/>
  <c r="G76" i="3" s="1"/>
  <c r="H75" i="3"/>
  <c r="F75" i="3"/>
  <c r="G75" i="3" s="1"/>
  <c r="H74" i="3"/>
  <c r="F74" i="3"/>
  <c r="G74" i="3" s="1"/>
  <c r="H73" i="3"/>
  <c r="F73" i="3"/>
  <c r="G73" i="3" s="1"/>
  <c r="H72" i="3"/>
  <c r="F72" i="3"/>
  <c r="G72" i="3" s="1"/>
  <c r="H71" i="3"/>
  <c r="F71" i="3"/>
  <c r="G71" i="3" s="1"/>
  <c r="H70" i="3"/>
  <c r="F70" i="3"/>
  <c r="G70" i="3" s="1"/>
  <c r="H69" i="3"/>
  <c r="F69" i="3"/>
  <c r="G69" i="3" s="1"/>
  <c r="H68" i="3"/>
  <c r="F68" i="3"/>
  <c r="G68" i="3" s="1"/>
  <c r="H67" i="3"/>
  <c r="F67" i="3"/>
  <c r="G67" i="3" s="1"/>
  <c r="H66" i="3"/>
  <c r="F66" i="3"/>
  <c r="G66" i="3" s="1"/>
  <c r="H65" i="3"/>
  <c r="F65" i="3"/>
  <c r="G65" i="3" s="1"/>
  <c r="H64" i="3"/>
  <c r="F64" i="3"/>
  <c r="G64" i="3" s="1"/>
  <c r="H63" i="3"/>
  <c r="F63" i="3"/>
  <c r="G63" i="3" s="1"/>
  <c r="H62" i="3"/>
  <c r="F62" i="3"/>
  <c r="G62" i="3" s="1"/>
  <c r="H61" i="3"/>
  <c r="F61" i="3"/>
  <c r="G61" i="3" s="1"/>
  <c r="H60" i="3"/>
  <c r="F60" i="3"/>
  <c r="G60" i="3" s="1"/>
  <c r="H59" i="3"/>
  <c r="F59" i="3"/>
  <c r="G59" i="3" s="1"/>
  <c r="H58" i="3"/>
  <c r="F58" i="3"/>
  <c r="G58" i="3" s="1"/>
  <c r="H57" i="3"/>
  <c r="F57" i="3"/>
  <c r="G57" i="3" s="1"/>
  <c r="H56" i="3"/>
  <c r="F56" i="3"/>
  <c r="G56" i="3" s="1"/>
  <c r="H55" i="3"/>
  <c r="F55" i="3"/>
  <c r="G55" i="3" s="1"/>
  <c r="H54" i="3"/>
  <c r="F54" i="3"/>
  <c r="G54" i="3" s="1"/>
  <c r="H53" i="3"/>
  <c r="F53" i="3"/>
  <c r="G53" i="3" s="1"/>
  <c r="H52" i="3"/>
  <c r="F52" i="3"/>
  <c r="G52" i="3" s="1"/>
  <c r="H51" i="3"/>
  <c r="F51" i="3"/>
  <c r="G51" i="3" s="1"/>
  <c r="H50" i="3"/>
  <c r="F50" i="3"/>
  <c r="G50" i="3" s="1"/>
  <c r="H49" i="3"/>
  <c r="F49" i="3"/>
  <c r="G49" i="3" s="1"/>
  <c r="H48" i="3"/>
  <c r="F48" i="3"/>
  <c r="G48" i="3" s="1"/>
  <c r="H47" i="3"/>
  <c r="F47" i="3"/>
  <c r="G47" i="3" s="1"/>
  <c r="H46" i="3"/>
  <c r="F46" i="3"/>
  <c r="G46" i="3" s="1"/>
  <c r="H45" i="3"/>
  <c r="F45" i="3"/>
  <c r="G45" i="3" s="1"/>
  <c r="H44" i="3"/>
  <c r="F44" i="3"/>
  <c r="G44" i="3" s="1"/>
  <c r="H43" i="3"/>
  <c r="F43" i="3"/>
  <c r="G43" i="3" s="1"/>
  <c r="H42" i="3"/>
  <c r="F42" i="3"/>
  <c r="G42" i="3" s="1"/>
  <c r="H41" i="3"/>
  <c r="F41" i="3"/>
  <c r="G41" i="3" s="1"/>
  <c r="H40" i="3"/>
  <c r="F40" i="3"/>
  <c r="G40" i="3" s="1"/>
  <c r="H39" i="3"/>
  <c r="F39" i="3"/>
  <c r="G39" i="3" s="1"/>
  <c r="H38" i="3"/>
  <c r="F38" i="3"/>
  <c r="G38" i="3" s="1"/>
  <c r="H37" i="3"/>
  <c r="F37" i="3"/>
  <c r="G37" i="3" s="1"/>
  <c r="H36" i="3"/>
  <c r="F36" i="3"/>
  <c r="G36" i="3" s="1"/>
  <c r="H35" i="3"/>
  <c r="F35" i="3"/>
  <c r="G35" i="3" s="1"/>
  <c r="H34" i="3"/>
  <c r="F34" i="3"/>
  <c r="G34" i="3" s="1"/>
  <c r="H33" i="3"/>
  <c r="F33" i="3"/>
  <c r="G33" i="3" s="1"/>
  <c r="H32" i="3"/>
  <c r="F32" i="3"/>
  <c r="G32" i="3" s="1"/>
  <c r="H31" i="3"/>
  <c r="F31" i="3"/>
  <c r="G31" i="3" s="1"/>
  <c r="H30" i="3"/>
  <c r="F30" i="3"/>
  <c r="G30" i="3" s="1"/>
  <c r="H29" i="3"/>
  <c r="F29" i="3"/>
  <c r="G29" i="3" s="1"/>
  <c r="H28" i="3"/>
  <c r="F28" i="3"/>
  <c r="G28" i="3" s="1"/>
  <c r="H27" i="3"/>
  <c r="F27" i="3"/>
  <c r="G27" i="3" s="1"/>
  <c r="H26" i="3"/>
  <c r="F26" i="3"/>
  <c r="G26" i="3" s="1"/>
  <c r="H25" i="3"/>
  <c r="F25" i="3"/>
  <c r="G25" i="3" s="1"/>
  <c r="H24" i="3"/>
  <c r="F24" i="3"/>
  <c r="G24" i="3" s="1"/>
  <c r="H23" i="3"/>
  <c r="F23" i="3"/>
  <c r="G23" i="3" s="1"/>
  <c r="H22" i="3"/>
  <c r="F22" i="3"/>
  <c r="G22" i="3" s="1"/>
  <c r="H21" i="3"/>
  <c r="F21" i="3"/>
  <c r="G21" i="3" s="1"/>
  <c r="H20" i="3"/>
  <c r="F20" i="3"/>
  <c r="G20" i="3" s="1"/>
  <c r="H19" i="3"/>
  <c r="F19" i="3"/>
  <c r="G19" i="3" s="1"/>
  <c r="H18" i="3"/>
  <c r="F18" i="3"/>
  <c r="G18" i="3" s="1"/>
  <c r="H17" i="3"/>
  <c r="F17" i="3"/>
  <c r="G17" i="3" s="1"/>
  <c r="H16" i="3"/>
  <c r="F16" i="3"/>
  <c r="G16" i="3" s="1"/>
  <c r="H15" i="3"/>
  <c r="F15" i="3"/>
  <c r="G15" i="3" s="1"/>
  <c r="H14" i="3"/>
  <c r="F14" i="3"/>
  <c r="G14" i="3" s="1"/>
  <c r="H13" i="3"/>
  <c r="F13" i="3"/>
  <c r="G13" i="3" s="1"/>
  <c r="H12" i="3"/>
  <c r="F12" i="3"/>
  <c r="G12" i="3" s="1"/>
  <c r="H11" i="3"/>
  <c r="F11" i="3"/>
  <c r="G11" i="3" s="1"/>
  <c r="H10" i="3"/>
  <c r="F10" i="3"/>
  <c r="G10" i="3" s="1"/>
  <c r="H9" i="3"/>
  <c r="F9" i="3"/>
  <c r="G9" i="3" s="1"/>
  <c r="H8" i="3"/>
  <c r="F8" i="3"/>
  <c r="G8" i="3" s="1"/>
  <c r="H7" i="3"/>
  <c r="F7" i="3"/>
  <c r="G7" i="3" s="1"/>
  <c r="H6" i="3"/>
  <c r="F6" i="3"/>
  <c r="G6" i="3" s="1"/>
  <c r="H5" i="3"/>
  <c r="F5" i="3"/>
  <c r="G5" i="3" s="1"/>
  <c r="H4" i="3"/>
  <c r="F4" i="3"/>
  <c r="G4" i="3" s="1"/>
  <c r="H3" i="3"/>
  <c r="F3" i="3"/>
  <c r="G3" i="3" s="1"/>
  <c r="H2" i="3"/>
  <c r="F2" i="3"/>
  <c r="G2" i="3" s="1"/>
  <c r="I2" i="2"/>
  <c r="H2" i="2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<sst xmlns="http://schemas.openxmlformats.org/spreadsheetml/2006/main" count="129" uniqueCount="74">
  <si>
    <t>Booking Date</t>
  </si>
  <si>
    <t>Customer</t>
  </si>
  <si>
    <t>Mode</t>
  </si>
  <si>
    <t>Booking Qty</t>
  </si>
  <si>
    <t>Processing Time (Min)</t>
  </si>
  <si>
    <t>Status</t>
  </si>
  <si>
    <t>System Issue</t>
  </si>
  <si>
    <t>Week</t>
  </si>
  <si>
    <t>Month</t>
  </si>
  <si>
    <t>PIC</t>
  </si>
  <si>
    <t>Remark</t>
  </si>
  <si>
    <t>SDVN</t>
  </si>
  <si>
    <t>Sea</t>
  </si>
  <si>
    <t>Normal</t>
  </si>
  <si>
    <t>No</t>
  </si>
  <si>
    <t>Ngọc</t>
  </si>
  <si>
    <t>Air</t>
  </si>
  <si>
    <t>Slow</t>
  </si>
  <si>
    <t>Yes</t>
  </si>
  <si>
    <t>Hệ thống phản hồi chậm</t>
  </si>
  <si>
    <t>NGSDVN</t>
  </si>
  <si>
    <t>Submit Date</t>
  </si>
  <si>
    <t>SI Qty</t>
  </si>
  <si>
    <t>SUMIDENSO VIET NAM.CO.,LTD</t>
  </si>
  <si>
    <t>Active</t>
  </si>
  <si>
    <t>NGHIA AN BRANCH - SUMIDENSO VIETNAM CO LTD</t>
  </si>
  <si>
    <t>IKKA TECHNOLOGY VIETNAM CO.,LTD</t>
  </si>
  <si>
    <t>IKKA</t>
  </si>
  <si>
    <t>TAISHODO VIETNAM COMPANY LIMITED</t>
  </si>
  <si>
    <t>TAISHODO</t>
  </si>
  <si>
    <t>SUMIDEN VIETNAM AUTOMOTIVE WIRE LTD., CO</t>
  </si>
  <si>
    <t>SVAW</t>
  </si>
  <si>
    <t>Issue ID</t>
  </si>
  <si>
    <t>Module</t>
  </si>
  <si>
    <t>Issue</t>
  </si>
  <si>
    <t>Impact</t>
  </si>
  <si>
    <t>Suggestion</t>
  </si>
  <si>
    <t>IS001</t>
  </si>
  <si>
    <t>Booking Tracking</t>
  </si>
  <si>
    <t>Chỉ có thể tra cứu bằng YVF Booking No., chưa hỗ trợ Carrier Booking No.</t>
  </si>
  <si>
    <t>Tăng thời gian thao tác khi tra cứu lô hàng</t>
  </si>
  <si>
    <t>Cho phép tra cứu bằng cả Carrier Booking No. và YVF Booking No.</t>
  </si>
  <si>
    <t>IS002</t>
  </si>
  <si>
    <t>Submit SI</t>
  </si>
  <si>
    <t>Tại màn hình Submit SI, trường Total Volume hiện đang yêu cầu nhập Gross Weight (GRW).</t>
  </si>
  <si>
    <t>Tăng nguy cơ nhập sai dữ liệu</t>
  </si>
  <si>
    <t>Đổi tên trường chính xác Volume (CBM)</t>
  </si>
  <si>
    <t>IS003</t>
  </si>
  <si>
    <t>VGM</t>
  </si>
  <si>
    <t>VGM vẫn phải submit thủ công qua email cho OFF PIC.</t>
  </si>
  <si>
    <t>Tăng thao tác thủ công và rủi ro bỏ sót</t>
  </si>
  <si>
    <t>Bổ sung chức năng Submit VGM trực tiếp trên YVF.</t>
  </si>
  <si>
    <t>Feedback ID</t>
  </si>
  <si>
    <t>Category</t>
  </si>
  <si>
    <t>Feedback</t>
  </si>
  <si>
    <t>Type</t>
  </si>
  <si>
    <t>Source</t>
  </si>
  <si>
    <t>FB001</t>
  </si>
  <si>
    <t>Booking</t>
  </si>
  <si>
    <t>Thao tác tạo Template nhanh, thuận tiện và dễ sử dụng.</t>
  </si>
  <si>
    <t>Positive</t>
  </si>
  <si>
    <t>FB002</t>
  </si>
  <si>
    <t>Usability</t>
  </si>
  <si>
    <t>Giao diện đơn giản, người dùng dễ làm quen.</t>
  </si>
  <si>
    <t>FB003</t>
  </si>
  <si>
    <t>Usability / Performance</t>
  </si>
  <si>
    <t>Từ ngày 22/7, hiệu năng hệ thống giảm rõ rệt. Thời gian tạo Booking Request kéo dài và hệ thống thường xuyên bị đơ trong quá trình thao tác.</t>
  </si>
  <si>
    <t>Negative</t>
  </si>
  <si>
    <t>Customer Code</t>
  </si>
  <si>
    <t>Start Using YVF</t>
  </si>
  <si>
    <t>Target Booking/Year</t>
  </si>
  <si>
    <t>Actual Booking YTD</t>
  </si>
  <si>
    <t>Achievement %</t>
  </si>
  <si>
    <t>Actual This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</si>
</sst>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"/>
    <numFmt numFmtId="165" formatCode="0.0"/>
    <numFmt numFmtId="166" formatCode="[$-409]d\-mmm\-yy;@"/>
    <numFmt numFmtId="167" formatCode="dd\-mmm\-yy"/>
    <numFmt numFmtId="168" formatCode="0.0%"/>
  </numFmts>
  <fonts count="5" x14ac:knownFonts="1">
    <font>
      <sz val="11"/>
      <color theme="1"/>
      <name val="Calibri"/>
    </font>
    <font>
      <sz val="10"/>
      <name val="Arial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47C20"/>
      </patternFill>
    </fill>
    <fill>
      <patternFill patternType="solid">
        <fgColor rgb="FFF47C20"/>
      </patternFill>
    </fill>
    <fill>
      <patternFill patternType="solid">
        <fgColor rgb="FFF57C00"/>
      </patternFill>
    </fill>
    <fill>
      <patternFill patternType="solid">
        <fgColor rgb="FFDDEBF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8C8D"/>
      </left>
      <right style="thin">
        <color indexed="64"/>
      </right>
      <top style="thin">
        <color rgb="FF7F8C8D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7F8C8D"/>
      </top>
      <bottom style="thin">
        <color indexed="64"/>
      </bottom>
      <diagonal/>
    </border>
    <border>
      <left/>
      <right/>
      <top style="thin">
        <color rgb="FF7F8C8D"/>
      </top>
      <bottom/>
      <diagonal/>
    </border>
    <border>
      <left/>
      <right style="thin">
        <color rgb="FF7F8C8D"/>
      </right>
      <top style="thin">
        <color rgb="FF7F8C8D"/>
      </top>
      <bottom/>
      <diagonal/>
    </border>
    <border>
      <left style="thin">
        <color rgb="FF7F8C8D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8C8D"/>
      </right>
      <top/>
      <bottom/>
      <diagonal/>
    </border>
    <border>
      <left style="thin">
        <color rgb="FF7F8C8D"/>
      </left>
      <right/>
      <top/>
      <bottom/>
      <diagonal/>
    </border>
    <border>
      <left style="thin">
        <color rgb="FF7F8C8D"/>
      </left>
      <right/>
      <top/>
      <bottom style="thin">
        <color rgb="FF7F8C8D"/>
      </bottom>
      <diagonal/>
    </border>
    <border>
      <left/>
      <right/>
      <top/>
      <bottom style="thin">
        <color rgb="FF7F8C8D"/>
      </bottom>
      <diagonal/>
    </border>
    <border>
      <left/>
      <right style="thin">
        <color rgb="FF7F8C8D"/>
      </right>
      <top/>
      <bottom style="thin">
        <color rgb="FF7F8C8D"/>
      </bottom>
      <diagonal/>
    </border>
  </borders>
  <cellStyleXfs count="2">
    <xf numFmtId="0" fontId="0" fillId="0" borderId="2"/>
    <xf numFmtId="0" fontId="1" fillId="0" borderId="2"/>
  </cellStyleXfs>
  <cellXfs count="49"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166" fontId="0" fillId="0" borderId="0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16" fontId="0" fillId="0" borderId="8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6" fontId="0" fillId="5" borderId="4" xfId="0" applyNumberForma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16" fontId="0" fillId="5" borderId="8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67" fontId="0" fillId="5" borderId="5" xfId="0" applyNumberForma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7" fontId="0" fillId="5" borderId="1" xfId="0" applyNumberFormat="1" applyFill="1" applyBorder="1" applyAlignment="1">
      <alignment horizontal="center" vertical="center" wrapText="1"/>
    </xf>
    <xf numFmtId="167" fontId="0" fillId="0" borderId="0" xfId="0" applyNumberFormat="1" applyBorder="1" applyAlignment="1">
      <alignment horizontal="center" vertical="center" wrapText="1"/>
    </xf>
    <xf numFmtId="167" fontId="0" fillId="0" borderId="0" xfId="0" applyNumberFormat="1" applyBorder="1" applyAlignment="1">
      <alignment vertical="center"/>
    </xf>
    <xf numFmtId="167" fontId="0" fillId="0" borderId="12" xfId="0" applyNumberFormat="1" applyBorder="1" applyAlignment="1">
      <alignment vertical="center"/>
    </xf>
    <xf numFmtId="1" fontId="0" fillId="5" borderId="5" xfId="0" applyNumberForma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1" fontId="0" fillId="0" borderId="0" xfId="0" applyNumberFormat="1" applyBorder="1" applyAlignment="1">
      <alignment horizontal="left" vertical="center" wrapText="1"/>
    </xf>
    <xf numFmtId="1" fontId="0" fillId="0" borderId="0" xfId="0" applyNumberFormat="1" applyBorder="1" applyAlignment="1">
      <alignment horizontal="center" vertical="center" wrapText="1"/>
    </xf>
    <xf numFmtId="1" fontId="0" fillId="0" borderId="0" xfId="0" applyNumberFormat="1" applyBorder="1" applyAlignment="1">
      <alignment vertical="center"/>
    </xf>
    <xf numFmtId="1" fontId="0" fillId="0" borderId="12" xfId="0" applyNumberFormat="1" applyBorder="1" applyAlignment="1">
      <alignment vertical="center"/>
    </xf>
    <xf numFmtId="1" fontId="0" fillId="5" borderId="7" xfId="0" applyNumberFormat="1" applyFill="1" applyBorder="1" applyAlignment="1">
      <alignment vertical="center"/>
    </xf>
    <xf numFmtId="1" fontId="0" fillId="0" borderId="9" xfId="0" applyNumberFormat="1" applyBorder="1" applyAlignment="1">
      <alignment vertical="center"/>
    </xf>
    <xf numFmtId="1" fontId="0" fillId="5" borderId="9" xfId="0" applyNumberFormat="1" applyFill="1" applyBorder="1" applyAlignment="1">
      <alignment vertical="center"/>
    </xf>
    <xf numFmtId="1" fontId="0" fillId="0" borderId="13" xfId="0" applyNumberFormat="1" applyBorder="1" applyAlignment="1">
      <alignment vertical="center"/>
    </xf>
    <xf numFmtId="168" fontId="0" fillId="5" borderId="6" xfId="0" applyNumberFormat="1" applyFill="1" applyBorder="1" applyAlignment="1">
      <alignment vertical="center"/>
    </xf>
    <xf numFmtId="168" fontId="0" fillId="0" borderId="0" xfId="0" applyNumberFormat="1" applyBorder="1" applyAlignment="1">
      <alignment vertical="center"/>
    </xf>
    <xf numFmtId="168" fontId="0" fillId="5" borderId="0" xfId="0" applyNumberFormat="1" applyFill="1" applyBorder="1" applyAlignment="1">
      <alignment vertical="center"/>
    </xf>
    <xf numFmtId="168" fontId="0" fillId="0" borderId="12" xfId="0" applyNumberFormat="1" applyBorder="1" applyAlignment="1">
      <alignment vertical="center"/>
    </xf>
    <xf numFmtId="0" fontId="0" fillId="0" borderId="3" xfId="0" applyBorder="1"/>
    <xf numFmtId="0" fontId="4" fillId="0" borderId="3" xfId="0" applyFont="1" applyBorder="1"/>
  </cellXfs>
  <cellStyles count="2">
    <cellStyle name="Normal" xfId="0" builtinId="0"/>
    <cellStyle name="Normal 2 2 2 3" xfId="1" xr:uid="{00000000-0005-0000-0000-000001000000}"/>
  </cellStyles>
  <dxfs count="6">
    <dxf>
      <font>
        <color rgb="FFC62828"/>
      </font>
      <fill>
        <patternFill>
          <bgColor rgb="FFFEE2E2"/>
        </patternFill>
      </fill>
    </dxf>
    <dxf>
      <font>
        <color rgb="FFF59E0B"/>
      </font>
      <fill>
        <patternFill>
          <bgColor rgb="FFFEF3C7"/>
        </patternFill>
      </fill>
    </dxf>
    <dxf>
      <font>
        <color rgb="FF2E7D32"/>
      </font>
      <fill>
        <patternFill>
          <bgColor rgb="FFDCFCE7"/>
        </patternFill>
      </fill>
    </dxf>
    <dxf>
      <font>
        <color rgb="FFC62828"/>
      </font>
      <fill>
        <patternFill>
          <bgColor rgb="FFFEE2E2"/>
        </patternFill>
      </fill>
    </dxf>
    <dxf>
      <font>
        <color rgb="FFF59E0B"/>
      </font>
      <fill>
        <patternFill>
          <bgColor rgb="FFFEF3C7"/>
        </patternFill>
      </fill>
    </dxf>
    <dxf>
      <font>
        <color rgb="FF2E7D32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ooking" displayName="tblBooking" ref="A1:K7">
  <tableColumns count="11">
    <tableColumn id="1" xr3:uid="{00000000-0010-0000-0000-000001000000}" name="Booking Date"/>
    <tableColumn id="2" xr3:uid="{00000000-0010-0000-0000-000002000000}" name="Customer"/>
    <tableColumn id="3" xr3:uid="{00000000-0010-0000-0000-000003000000}" name="Mode"/>
    <tableColumn id="4" xr3:uid="{00000000-0010-0000-0000-000004000000}" name="Booking Qty"/>
    <tableColumn id="5" xr3:uid="{00000000-0010-0000-0000-000005000000}" name="Processing Time (Min)"/>
    <tableColumn id="6" xr3:uid="{00000000-0010-0000-0000-000006000000}" name="Status"/>
    <tableColumn id="7" xr3:uid="{00000000-0010-0000-0000-000007000000}" name="System Issue"/>
    <tableColumn id="8" xr3:uid="{00000000-0010-0000-0000-000008000000}" name="Week"/>
    <tableColumn id="9" xr3:uid="{00000000-0010-0000-0000-000009000000}" name="Month"/>
    <tableColumn id="10" xr3:uid="{00000000-0010-0000-0000-00000A000000}" name="PIC"/>
    <tableColumn id="11" xr3:uid="{00000000-0010-0000-0000-00000B000000}" name="Remar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Booking5" displayName="tblBooking5" ref="A1:K6">
  <tableColumns count="11">
    <tableColumn id="1" xr3:uid="{00000000-0010-0000-0100-000001000000}" name="Submit Date"/>
    <tableColumn id="2" xr3:uid="{00000000-0010-0000-0100-000002000000}" name="Customer"/>
    <tableColumn id="3" xr3:uid="{00000000-0010-0000-0100-000003000000}" name="Mode"/>
    <tableColumn id="4" xr3:uid="{00000000-0010-0000-0100-000004000000}" name="SI Qty"/>
    <tableColumn id="5" xr3:uid="{00000000-0010-0000-0100-000005000000}" name="Processing Time (Min)"/>
    <tableColumn id="6" xr3:uid="{00000000-0010-0000-0100-000006000000}" name="Status"/>
    <tableColumn id="7" xr3:uid="{00000000-0010-0000-0100-000007000000}" name="System Issue"/>
    <tableColumn id="8" xr3:uid="{00000000-0010-0000-0100-000008000000}" name="Week"/>
    <tableColumn id="9" xr3:uid="{00000000-0010-0000-0100-000009000000}" name="Month"/>
    <tableColumn id="10" xr3:uid="{00000000-0010-0000-0100-00000A000000}" name="PIC"/>
    <tableColumn id="11" xr3:uid="{00000000-0010-0000-0100-00000B000000}" name="Remar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SI" displayName="tblSI" ref="A1:F10">
  <tableColumns count="6">
    <tableColumn id="1" xr3:uid="{00000000-0010-0000-0200-000001000000}" name="Customer"/>
    <tableColumn id="2" xr3:uid="{00000000-0010-0000-0200-000002000000}" name="Customer Code"/>
    <tableColumn id="5" xr3:uid="{00000000-0010-0000-0200-000005000000}" name="Start Using YVF"/>
    <tableColumn id="6" xr3:uid="{00000000-0010-0000-0200-000006000000}" name="Status"/>
    <tableColumn id="7" xr3:uid="{00000000-0010-0000-0200-000007000000}" name="Target Booking/Year"/>
    <tableColumn id="8" xr3:uid="{00000000-0010-0000-0200-000008000000}" name="Actual Book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Issue" displayName="tblIssue" ref="A1:E4">
  <tableColumns count="5">
    <tableColumn id="1" xr3:uid="{00000000-0010-0000-0300-000001000000}" name="Issue ID"/>
    <tableColumn id="2" xr3:uid="{00000000-0010-0000-0300-000002000000}" name="Module"/>
    <tableColumn id="3" xr3:uid="{00000000-0010-0000-0300-000003000000}" name="Issue"/>
    <tableColumn id="4" xr3:uid="{00000000-0010-0000-0300-000004000000}" name="Impact"/>
    <tableColumn id="5" xr3:uid="{00000000-0010-0000-0300-000005000000}" name="Sugges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workbookViewId="0">
      <selection activeCell="E14" sqref="E14"/>
    </sheetView>
  </sheetViews>
  <sheetFormatPr defaultColWidth="15.1796875" defaultRowHeight="14.5" x14ac:dyDescent="0.35"/>
  <cols>
    <col min="1" max="1" width="12" style="2" customWidth="1"/>
    <col min="2" max="2" width="14" style="2" customWidth="1"/>
    <col min="3" max="3" width="10" style="2" customWidth="1"/>
    <col min="4" max="4" width="13" style="2" customWidth="1"/>
    <col min="5" max="5" width="18" style="2" customWidth="1"/>
    <col min="6" max="6" width="12" style="2" customWidth="1"/>
    <col min="7" max="7" width="14" customWidth="1"/>
    <col min="8" max="8" width="9" customWidth="1"/>
    <col min="9" max="10" width="12" customWidth="1"/>
    <col min="11" max="11" width="32" style="2" customWidth="1"/>
    <col min="12" max="12" width="15.1796875" style="2" customWidth="1"/>
    <col min="13" max="16384" width="15.1796875" style="2"/>
  </cols>
  <sheetData>
    <row r="1" spans="1:11" ht="22.4" customHeigh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t="15.65" customHeight="1" x14ac:dyDescent="0.35">
      <c r="A2" s="8">
        <v>46225</v>
      </c>
      <c r="B2" s="5" t="s">
        <v>11</v>
      </c>
      <c r="C2" s="5" t="s">
        <v>12</v>
      </c>
      <c r="D2" s="9">
        <v>3</v>
      </c>
      <c r="E2" s="9">
        <v>3</v>
      </c>
      <c r="F2" s="5" t="s">
        <v>13</v>
      </c>
      <c r="G2" s="5" t="s">
        <v>14</v>
      </c>
      <c r="H2" s="5">
        <f t="shared" ref="H2:H7" si="0">WEEKNUM(A2,2)</f>
        <v>30</v>
      </c>
      <c r="I2" s="5" t="str">
        <f t="shared" ref="I2:I7" si="1">TEXT(A2,"mmm-yyyy")</f>
        <v>Jul-2026</v>
      </c>
      <c r="J2" s="5" t="s">
        <v>15</v>
      </c>
      <c r="K2" s="6"/>
    </row>
    <row r="3" spans="1:11" ht="15.65" customHeight="1" x14ac:dyDescent="0.35">
      <c r="A3" s="8">
        <v>46226</v>
      </c>
      <c r="B3" s="5" t="s">
        <v>11</v>
      </c>
      <c r="C3" s="5" t="s">
        <v>16</v>
      </c>
      <c r="D3" s="9">
        <v>1</v>
      </c>
      <c r="E3" s="9">
        <v>5</v>
      </c>
      <c r="F3" s="5" t="s">
        <v>17</v>
      </c>
      <c r="G3" s="5" t="s">
        <v>18</v>
      </c>
      <c r="H3" s="5">
        <f t="shared" si="0"/>
        <v>30</v>
      </c>
      <c r="I3" s="5" t="str">
        <f t="shared" si="1"/>
        <v>Jul-2026</v>
      </c>
      <c r="J3" s="5" t="s">
        <v>15</v>
      </c>
      <c r="K3" s="6" t="s">
        <v>19</v>
      </c>
    </row>
    <row r="4" spans="1:11" ht="15.65" customHeight="1" x14ac:dyDescent="0.35">
      <c r="A4" s="8">
        <v>46226</v>
      </c>
      <c r="B4" s="5" t="s">
        <v>20</v>
      </c>
      <c r="C4" s="5" t="s">
        <v>16</v>
      </c>
      <c r="D4" s="9">
        <v>3</v>
      </c>
      <c r="E4" s="9">
        <v>5</v>
      </c>
      <c r="F4" s="5" t="s">
        <v>17</v>
      </c>
      <c r="G4" s="5" t="s">
        <v>18</v>
      </c>
      <c r="H4" s="5">
        <f t="shared" si="0"/>
        <v>30</v>
      </c>
      <c r="I4" s="5" t="str">
        <f t="shared" si="1"/>
        <v>Jul-2026</v>
      </c>
      <c r="J4" s="5" t="s">
        <v>15</v>
      </c>
      <c r="K4" s="6" t="s">
        <v>19</v>
      </c>
    </row>
    <row r="5" spans="1:11" ht="15.65" customHeight="1" x14ac:dyDescent="0.35">
      <c r="A5" s="8">
        <v>46227</v>
      </c>
      <c r="B5" s="5" t="s">
        <v>11</v>
      </c>
      <c r="C5" s="5" t="s">
        <v>16</v>
      </c>
      <c r="D5" s="9">
        <v>8</v>
      </c>
      <c r="E5" s="9">
        <v>5</v>
      </c>
      <c r="F5" s="5" t="s">
        <v>17</v>
      </c>
      <c r="G5" s="5" t="s">
        <v>18</v>
      </c>
      <c r="H5" s="5">
        <f t="shared" si="0"/>
        <v>30</v>
      </c>
      <c r="I5" s="5" t="str">
        <f t="shared" si="1"/>
        <v>Jul-2026</v>
      </c>
      <c r="J5" s="5" t="s">
        <v>15</v>
      </c>
      <c r="K5" s="6" t="s">
        <v>19</v>
      </c>
    </row>
    <row r="6" spans="1:11" ht="15.4" customHeight="1" x14ac:dyDescent="0.35">
      <c r="A6" s="8">
        <v>46227</v>
      </c>
      <c r="B6" s="5" t="s">
        <v>20</v>
      </c>
      <c r="C6" s="5" t="s">
        <v>16</v>
      </c>
      <c r="D6" s="9">
        <v>2</v>
      </c>
      <c r="E6" s="9">
        <v>5</v>
      </c>
      <c r="F6" s="5" t="s">
        <v>17</v>
      </c>
      <c r="G6" s="5" t="s">
        <v>18</v>
      </c>
      <c r="H6" s="5">
        <f t="shared" si="0"/>
        <v>30</v>
      </c>
      <c r="I6" s="5" t="str">
        <f t="shared" si="1"/>
        <v>Jul-2026</v>
      </c>
      <c r="J6" s="5" t="s">
        <v>15</v>
      </c>
      <c r="K6" s="6" t="s">
        <v>19</v>
      </c>
    </row>
    <row r="7" spans="1:11" ht="15.4" customHeight="1" x14ac:dyDescent="0.35">
      <c r="A7" s="8">
        <v>46230</v>
      </c>
      <c r="B7" s="5" t="s">
        <v>11</v>
      </c>
      <c r="C7" s="5" t="s">
        <v>16</v>
      </c>
      <c r="D7" s="9">
        <v>3</v>
      </c>
      <c r="E7" s="9">
        <v>6.5</v>
      </c>
      <c r="F7" s="5" t="s">
        <v>17</v>
      </c>
      <c r="G7" s="5" t="s">
        <v>18</v>
      </c>
      <c r="H7" s="5">
        <f t="shared" si="0"/>
        <v>31</v>
      </c>
      <c r="I7" s="5" t="str">
        <f t="shared" si="1"/>
        <v>Jul-2026</v>
      </c>
      <c r="J7" s="5" t="s">
        <v>15</v>
      </c>
      <c r="K7" s="6" t="s">
        <v>19</v>
      </c>
    </row>
    <row r="8" spans="1:11" ht="15.65" customHeight="1" x14ac:dyDescent="0.35">
      <c r="A8" s="1"/>
      <c r="B8" s="1"/>
      <c r="C8" s="1"/>
      <c r="D8" s="1"/>
      <c r="E8" s="1"/>
      <c r="F8" s="1"/>
      <c r="G8" s="3"/>
      <c r="H8" s="3"/>
      <c r="I8" s="3"/>
      <c r="J8" s="3"/>
      <c r="K8" s="3"/>
    </row>
    <row r="9" spans="1:11" ht="15.65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</sheetData>
  <conditionalFormatting sqref="F2:F200">
    <cfRule type="expression" dxfId="5" priority="1">
      <formula>F2="Normal"</formula>
    </cfRule>
    <cfRule type="expression" dxfId="4" priority="2">
      <formula>F2="Slow"</formula>
    </cfRule>
    <cfRule type="expression" dxfId="3" priority="3">
      <formula>F2="Error"</formula>
    </cfRule>
  </conditionalFormatting>
  <dataValidations count="4">
    <dataValidation type="list" allowBlank="1" showInputMessage="1" showErrorMessage="1" sqref="F2:F15" xr:uid="{00000000-0002-0000-0000-000000000000}">
      <formula1>"Normal,Slow,Error"</formula1>
    </dataValidation>
    <dataValidation type="list" sqref="C2:C200" xr:uid="{00000000-0002-0000-0000-000001000000}">
      <formula1>"Sea,Air"</formula1>
    </dataValidation>
    <dataValidation type="list" sqref="F2:F200" xr:uid="{00000000-0002-0000-0000-000002000000}">
      <formula1>"Normal,Slow,Error"</formula1>
    </dataValidation>
    <dataValidation type="list" sqref="G2:G200" xr:uid="{00000000-0002-0000-0000-000003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tabSelected="1" workbookViewId="0">
      <selection activeCell="E10" sqref="E10"/>
    </sheetView>
  </sheetViews>
  <sheetFormatPr defaultColWidth="15.1796875" defaultRowHeight="14.5" x14ac:dyDescent="0.35"/>
  <cols>
    <col min="1" max="1" width="12" style="2" customWidth="1"/>
    <col min="2" max="2" width="14" style="2" customWidth="1"/>
    <col min="3" max="3" width="10" style="2" customWidth="1"/>
    <col min="4" max="4" width="13" style="2" customWidth="1"/>
    <col min="5" max="5" width="18" style="2" customWidth="1"/>
    <col min="6" max="6" width="12" style="2" customWidth="1"/>
    <col min="7" max="7" width="14" customWidth="1"/>
    <col min="8" max="8" width="9" customWidth="1"/>
    <col min="9" max="10" width="12" customWidth="1"/>
    <col min="11" max="11" width="32" style="2" customWidth="1"/>
    <col min="12" max="12" width="15.1796875" style="2" customWidth="1"/>
    <col min="13" max="16384" width="15.1796875" style="2"/>
  </cols>
  <sheetData>
    <row r="1" spans="1:11" ht="22.4" customHeight="1" x14ac:dyDescent="0.35">
      <c r="A1" s="10" t="s">
        <v>21</v>
      </c>
      <c r="B1" s="10" t="s">
        <v>1</v>
      </c>
      <c r="C1" s="10" t="s">
        <v>2</v>
      </c>
      <c r="D1" s="10" t="s">
        <v>22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t="15.65" customHeight="1" x14ac:dyDescent="0.35">
      <c r="A2" s="8">
        <v>46230</v>
      </c>
      <c r="B2" s="5" t="s">
        <v>11</v>
      </c>
      <c r="C2" s="5" t="s">
        <v>12</v>
      </c>
      <c r="D2" s="9">
        <v>2</v>
      </c>
      <c r="E2" s="9">
        <v>5</v>
      </c>
      <c r="F2" s="5" t="s">
        <v>13</v>
      </c>
      <c r="G2" s="5" t="s">
        <v>14</v>
      </c>
      <c r="H2" s="5">
        <f>WEEKNUM(A2,2)</f>
        <v>31</v>
      </c>
      <c r="I2" s="5" t="str">
        <f>TEXT(A2,"mmm-yyyy")</f>
        <v>Jul-2026</v>
      </c>
      <c r="J2" s="5" t="s">
        <v>15</v>
      </c>
      <c r="K2" s="6"/>
    </row>
    <row r="3" spans="1:11" ht="15.65" customHeigh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ht="15.65" customHeight="1" x14ac:dyDescent="0.35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5.65" customHeight="1" x14ac:dyDescent="0.35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ht="15.4" customHeight="1" x14ac:dyDescent="0.35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ht="15.65" customHeight="1" x14ac:dyDescent="0.35">
      <c r="A7" s="1"/>
      <c r="B7" s="1"/>
      <c r="C7" s="1"/>
      <c r="D7" s="1"/>
      <c r="E7" s="1"/>
      <c r="F7" s="1"/>
      <c r="G7" s="3"/>
      <c r="H7" s="3"/>
      <c r="I7" s="3"/>
      <c r="J7" s="3"/>
      <c r="K7" s="3"/>
    </row>
    <row r="8" spans="1:11" ht="15.6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</sheetData>
  <conditionalFormatting sqref="F2:F199">
    <cfRule type="expression" dxfId="2" priority="1">
      <formula>F2="Normal"</formula>
    </cfRule>
    <cfRule type="expression" dxfId="1" priority="2">
      <formula>F2="Slow"</formula>
    </cfRule>
    <cfRule type="expression" dxfId="0" priority="3">
      <formula>F2="Error"</formula>
    </cfRule>
  </conditionalFormatting>
  <dataValidations count="4">
    <dataValidation type="list" sqref="G2:G199" xr:uid="{00000000-0002-0000-0100-000000000000}">
      <formula1>"Yes,No"</formula1>
    </dataValidation>
    <dataValidation type="list" sqref="F2:F199" xr:uid="{00000000-0002-0000-0100-000001000000}">
      <formula1>"Normal,Slow,Error"</formula1>
    </dataValidation>
    <dataValidation type="list" sqref="C2:C199" xr:uid="{00000000-0002-0000-0100-000002000000}">
      <formula1>"Sea,Air"</formula1>
    </dataValidation>
    <dataValidation type="list" allowBlank="1" showInputMessage="1" showErrorMessage="1" sqref="F2:F14" xr:uid="{00000000-0002-0000-0100-000003000000}">
      <formula1>"Normal,Slow,Error"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"/>
  <sheetViews>
    <sheetView workbookViewId="0">
      <selection activeCell="E8" sqref="E8"/>
    </sheetView>
  </sheetViews>
  <sheetFormatPr defaultColWidth="15.1796875" defaultRowHeight="14.5" x14ac:dyDescent="0.35"/>
  <cols>
    <col min="1" max="1" width="43" style="2" customWidth="1"/>
    <col min="2" max="2" width="16" style="2" customWidth="1"/>
    <col min="3" max="3" width="18" style="12" customWidth="1"/>
    <col min="4" max="4" width="14" style="2" customWidth="1"/>
    <col min="5" max="5" width="20" customWidth="1"/>
    <col min="6" max="6" width="19" customWidth="1"/>
    <col min="7" max="7" width="15" style="2" customWidth="1"/>
    <col min="8" max="8" width="18" customWidth="1"/>
    <col min="9" max="16384" width="15.1796875" style="2"/>
  </cols>
  <sheetData>
    <row r="1" spans="1:8" ht="29.4" customHeight="1" x14ac:dyDescent="0.35">
      <c r="A1" s="13" t="s">
        <v>1</v>
      </c>
      <c r="B1" s="13" t="s">
        <v>68</v>
      </c>
      <c r="C1" s="14" t="s">
        <v>69</v>
      </c>
      <c r="D1" s="13" t="s">
        <v>5</v>
      </c>
      <c r="E1" s="13" t="s">
        <v>70</v>
      </c>
      <c r="F1" s="13" t="s">
        <v>71</v>
      </c>
      <c r="G1" s="15" t="s">
        <v>72</v>
      </c>
      <c r="H1" s="15" t="s">
        <v>73</v>
      </c>
    </row>
    <row r="2" spans="1:8" ht="15.65" customHeight="1" x14ac:dyDescent="0.35">
      <c r="A2" s="22" t="s">
        <v>23</v>
      </c>
      <c r="B2" s="23" t="s">
        <v>11</v>
      </c>
      <c r="C2" s="26">
        <v>46076</v>
      </c>
      <c r="D2" s="23" t="s">
        <v>24</v>
      </c>
      <c r="E2" s="32">
        <v>400</v>
      </c>
      <c r="F2" s="32">
        <f ca="1">SUMIFS(Data_Booking!$D:$D,Data_Booking!$B:$B,$B2,Data_Booking!$A:$A,"&gt;="&amp;DATE(YEAR(TODAY()),1,1),Data_Booking!$A:$A,"&lt;="&amp;TODAY())</f>
        <v>15</v>
      </c>
      <c r="G2" s="43">
        <f t="shared" ref="G2:G33" ca="1" si="0">IFERROR(F2/E2,0)</f>
        <v>3.7499999999999999E-2</v>
      </c>
      <c r="H2" s="39">
        <f ca="1">SUMIFS(Data_Booking!$D:$D,Data_Booking!$B:$B,$B2,Data_Booking!$A:$A,"&gt;="&amp;EOMONTH(TODAY(),-1)+1,Data_Booking!$A:$A,"&lt;="&amp;EOMONTH(TODAY(),0))</f>
        <v>15</v>
      </c>
    </row>
    <row r="3" spans="1:8" ht="29" x14ac:dyDescent="0.35">
      <c r="A3" s="17" t="s">
        <v>25</v>
      </c>
      <c r="B3" s="5" t="s">
        <v>20</v>
      </c>
      <c r="C3" s="27">
        <v>46226</v>
      </c>
      <c r="D3" s="5" t="s">
        <v>24</v>
      </c>
      <c r="E3" s="33">
        <v>50</v>
      </c>
      <c r="F3" s="33">
        <f ca="1">SUMIFS(Data_Booking!$D:$D,Data_Booking!$B:$B,$B3,Data_Booking!$A:$A,"&gt;="&amp;DATE(YEAR(TODAY()),1,1),Data_Booking!$A:$A,"&lt;="&amp;TODAY())</f>
        <v>5</v>
      </c>
      <c r="G3" s="44">
        <f t="shared" ca="1" si="0"/>
        <v>0.1</v>
      </c>
      <c r="H3" s="40">
        <f ca="1">SUMIFS(Data_Booking!$D:$D,Data_Booking!$B:$B,$B3,Data_Booking!$A:$A,"&gt;="&amp;EOMONTH(TODAY(),-1)+1,Data_Booking!$A:$A,"&lt;="&amp;EOMONTH(TODAY(),0))</f>
        <v>5</v>
      </c>
    </row>
    <row r="4" spans="1:8" ht="15.65" customHeight="1" x14ac:dyDescent="0.35">
      <c r="A4" s="24" t="s">
        <v>26</v>
      </c>
      <c r="B4" s="25" t="s">
        <v>27</v>
      </c>
      <c r="C4" s="28"/>
      <c r="D4" s="25" t="s">
        <v>24</v>
      </c>
      <c r="E4" s="34">
        <v>0</v>
      </c>
      <c r="F4" s="34">
        <f ca="1">SUMIFS(Data_Booking!$D:$D,Data_Booking!$B:$B,$B4,Data_Booking!$A:$A,"&gt;="&amp;DATE(YEAR(TODAY()),1,1),Data_Booking!$A:$A,"&lt;="&amp;TODAY())</f>
        <v>0</v>
      </c>
      <c r="G4" s="45">
        <f t="shared" ca="1" si="0"/>
        <v>0</v>
      </c>
      <c r="H4" s="41">
        <f ca="1">SUMIFS(Data_Booking!$D:$D,Data_Booking!$B:$B,$B4,Data_Booking!$A:$A,"&gt;="&amp;EOMONTH(TODAY(),-1)+1,Data_Booking!$A:$A,"&lt;="&amp;EOMONTH(TODAY(),0))</f>
        <v>0</v>
      </c>
    </row>
    <row r="5" spans="1:8" ht="15.65" customHeight="1" x14ac:dyDescent="0.35">
      <c r="A5" s="17" t="s">
        <v>28</v>
      </c>
      <c r="B5" s="5" t="s">
        <v>29</v>
      </c>
      <c r="C5" s="27"/>
      <c r="D5" s="5" t="s">
        <v>24</v>
      </c>
      <c r="E5" s="33">
        <v>0</v>
      </c>
      <c r="F5" s="33">
        <f ca="1">SUMIFS(Data_Booking!$D:$D,Data_Booking!$B:$B,$B5,Data_Booking!$A:$A,"&gt;="&amp;DATE(YEAR(TODAY()),1,1),Data_Booking!$A:$A,"&lt;="&amp;TODAY())</f>
        <v>0</v>
      </c>
      <c r="G5" s="44">
        <f t="shared" ca="1" si="0"/>
        <v>0</v>
      </c>
      <c r="H5" s="40">
        <f ca="1">SUMIFS(Data_Booking!$D:$D,Data_Booking!$B:$B,$B5,Data_Booking!$A:$A,"&gt;="&amp;EOMONTH(TODAY(),-1)+1,Data_Booking!$A:$A,"&lt;="&amp;EOMONTH(TODAY(),0))</f>
        <v>0</v>
      </c>
    </row>
    <row r="6" spans="1:8" ht="15.65" customHeight="1" x14ac:dyDescent="0.35">
      <c r="A6" s="24" t="s">
        <v>30</v>
      </c>
      <c r="B6" s="25" t="s">
        <v>31</v>
      </c>
      <c r="C6" s="28"/>
      <c r="D6" s="25" t="s">
        <v>24</v>
      </c>
      <c r="E6" s="34">
        <v>0</v>
      </c>
      <c r="F6" s="34">
        <f ca="1">SUMIFS(Data_Booking!$D:$D,Data_Booking!$B:$B,$B6,Data_Booking!$A:$A,"&gt;="&amp;DATE(YEAR(TODAY()),1,1),Data_Booking!$A:$A,"&lt;="&amp;TODAY())</f>
        <v>0</v>
      </c>
      <c r="G6" s="45">
        <f t="shared" ca="1" si="0"/>
        <v>0</v>
      </c>
      <c r="H6" s="41">
        <f ca="1">SUMIFS(Data_Booking!$D:$D,Data_Booking!$B:$B,$B6,Data_Booking!$A:$A,"&gt;="&amp;EOMONTH(TODAY(),-1)+1,Data_Booking!$A:$A,"&lt;="&amp;EOMONTH(TODAY(),0))</f>
        <v>0</v>
      </c>
    </row>
    <row r="7" spans="1:8" ht="15.65" customHeight="1" x14ac:dyDescent="0.35">
      <c r="A7" s="17"/>
      <c r="B7" s="5"/>
      <c r="C7" s="27"/>
      <c r="D7" s="5"/>
      <c r="E7" s="33"/>
      <c r="F7" s="33">
        <f ca="1">SUMIFS(Data_Booking!$D:$D,Data_Booking!$B:$B,$B7,Data_Booking!$A:$A,"&gt;="&amp;DATE(YEAR(TODAY()),1,1),Data_Booking!$A:$A,"&lt;="&amp;TODAY())</f>
        <v>0</v>
      </c>
      <c r="G7" s="44">
        <f t="shared" ca="1" si="0"/>
        <v>0</v>
      </c>
      <c r="H7" s="40">
        <f ca="1">SUMIFS(Data_Booking!$D:$D,Data_Booking!$B:$B,$B7,Data_Booking!$A:$A,"&gt;="&amp;EOMONTH(TODAY(),-1)+1,Data_Booking!$A:$A,"&lt;="&amp;EOMONTH(TODAY(),0))</f>
        <v>0</v>
      </c>
    </row>
    <row r="8" spans="1:8" ht="15.65" customHeight="1" x14ac:dyDescent="0.35">
      <c r="A8" s="17"/>
      <c r="B8" s="5"/>
      <c r="C8" s="27"/>
      <c r="D8" s="5"/>
      <c r="E8" s="33"/>
      <c r="F8" s="33">
        <f ca="1">SUMIFS(Data_Booking!$D:$D,Data_Booking!$B:$B,$B8,Data_Booking!$A:$A,"&gt;="&amp;DATE(YEAR(TODAY()),1,1),Data_Booking!$A:$A,"&lt;="&amp;TODAY())</f>
        <v>0</v>
      </c>
      <c r="G8" s="44">
        <f t="shared" ca="1" si="0"/>
        <v>0</v>
      </c>
      <c r="H8" s="40">
        <f ca="1">SUMIFS(Data_Booking!$D:$D,Data_Booking!$B:$B,$B8,Data_Booking!$A:$A,"&gt;="&amp;EOMONTH(TODAY(),-1)+1,Data_Booking!$A:$A,"&lt;="&amp;EOMONTH(TODAY(),0))</f>
        <v>0</v>
      </c>
    </row>
    <row r="9" spans="1:8" ht="15.65" customHeight="1" x14ac:dyDescent="0.35">
      <c r="A9" s="17"/>
      <c r="B9" s="5"/>
      <c r="C9" s="27"/>
      <c r="D9" s="5"/>
      <c r="E9" s="33"/>
      <c r="F9" s="33">
        <f ca="1">SUMIFS(Data_Booking!$D:$D,Data_Booking!$B:$B,$B9,Data_Booking!$A:$A,"&gt;="&amp;DATE(YEAR(TODAY()),1,1),Data_Booking!$A:$A,"&lt;="&amp;TODAY())</f>
        <v>0</v>
      </c>
      <c r="G9" s="44">
        <f t="shared" ca="1" si="0"/>
        <v>0</v>
      </c>
      <c r="H9" s="40">
        <f ca="1">SUMIFS(Data_Booking!$D:$D,Data_Booking!$B:$B,$B9,Data_Booking!$A:$A,"&gt;="&amp;EOMONTH(TODAY(),-1)+1,Data_Booking!$A:$A,"&lt;="&amp;EOMONTH(TODAY(),0))</f>
        <v>0</v>
      </c>
    </row>
    <row r="10" spans="1:8" x14ac:dyDescent="0.35">
      <c r="A10" s="17"/>
      <c r="B10" s="5"/>
      <c r="C10" s="27"/>
      <c r="D10" s="5"/>
      <c r="E10" s="33"/>
      <c r="F10" s="33">
        <f ca="1">SUMIFS(Data_Booking!$D:$D,Data_Booking!$B:$B,$B10,Data_Booking!$A:$A,"&gt;="&amp;DATE(YEAR(TODAY()),1,1),Data_Booking!$A:$A,"&lt;="&amp;TODAY())</f>
        <v>0</v>
      </c>
      <c r="G10" s="44">
        <f t="shared" ca="1" si="0"/>
        <v>0</v>
      </c>
      <c r="H10" s="40">
        <f ca="1">SUMIFS(Data_Booking!$D:$D,Data_Booking!$B:$B,$B10,Data_Booking!$A:$A,"&gt;="&amp;EOMONTH(TODAY(),-1)+1,Data_Booking!$A:$A,"&lt;="&amp;EOMONTH(TODAY(),0))</f>
        <v>0</v>
      </c>
    </row>
    <row r="11" spans="1:8" x14ac:dyDescent="0.35">
      <c r="A11" s="17"/>
      <c r="B11" s="5"/>
      <c r="C11" s="27"/>
      <c r="D11" s="5"/>
      <c r="E11" s="33"/>
      <c r="F11" s="33">
        <f ca="1">SUMIFS(Data_Booking!$D:$D,Data_Booking!$B:$B,$B11,Data_Booking!$A:$A,"&gt;="&amp;DATE(YEAR(TODAY()),1,1),Data_Booking!$A:$A,"&lt;="&amp;TODAY())</f>
        <v>0</v>
      </c>
      <c r="G11" s="44">
        <f t="shared" ca="1" si="0"/>
        <v>0</v>
      </c>
      <c r="H11" s="40">
        <f ca="1">SUMIFS(Data_Booking!$D:$D,Data_Booking!$B:$B,$B11,Data_Booking!$A:$A,"&gt;="&amp;EOMONTH(TODAY(),-1)+1,Data_Booking!$A:$A,"&lt;="&amp;EOMONTH(TODAY(),0))</f>
        <v>0</v>
      </c>
    </row>
    <row r="12" spans="1:8" x14ac:dyDescent="0.35">
      <c r="A12" s="17"/>
      <c r="B12" s="5"/>
      <c r="C12" s="27"/>
      <c r="D12" s="5"/>
      <c r="E12" s="33"/>
      <c r="F12" s="33">
        <f ca="1">SUMIFS(Data_Booking!$D:$D,Data_Booking!$B:$B,$B12,Data_Booking!$A:$A,"&gt;="&amp;DATE(YEAR(TODAY()),1,1),Data_Booking!$A:$A,"&lt;="&amp;TODAY())</f>
        <v>0</v>
      </c>
      <c r="G12" s="44">
        <f t="shared" ca="1" si="0"/>
        <v>0</v>
      </c>
      <c r="H12" s="40">
        <f ca="1">SUMIFS(Data_Booking!$D:$D,Data_Booking!$B:$B,$B12,Data_Booking!$A:$A,"&gt;="&amp;EOMONTH(TODAY(),-1)+1,Data_Booking!$A:$A,"&lt;="&amp;EOMONTH(TODAY(),0))</f>
        <v>0</v>
      </c>
    </row>
    <row r="13" spans="1:8" x14ac:dyDescent="0.35">
      <c r="A13" s="17"/>
      <c r="B13" s="5"/>
      <c r="C13" s="27"/>
      <c r="D13" s="5"/>
      <c r="E13" s="33"/>
      <c r="F13" s="33">
        <f ca="1">SUMIFS(Data_Booking!$D:$D,Data_Booking!$B:$B,$B13,Data_Booking!$A:$A,"&gt;="&amp;DATE(YEAR(TODAY()),1,1),Data_Booking!$A:$A,"&lt;="&amp;TODAY())</f>
        <v>0</v>
      </c>
      <c r="G13" s="44">
        <f t="shared" ca="1" si="0"/>
        <v>0</v>
      </c>
      <c r="H13" s="40">
        <f ca="1">SUMIFS(Data_Booking!$D:$D,Data_Booking!$B:$B,$B13,Data_Booking!$A:$A,"&gt;="&amp;EOMONTH(TODAY(),-1)+1,Data_Booking!$A:$A,"&lt;="&amp;EOMONTH(TODAY(),0))</f>
        <v>0</v>
      </c>
    </row>
    <row r="14" spans="1:8" x14ac:dyDescent="0.35">
      <c r="A14" s="17"/>
      <c r="B14" s="5"/>
      <c r="C14" s="27"/>
      <c r="D14" s="5"/>
      <c r="E14" s="33"/>
      <c r="F14" s="33">
        <f ca="1">SUMIFS(Data_Booking!$D:$D,Data_Booking!$B:$B,$B14,Data_Booking!$A:$A,"&gt;="&amp;DATE(YEAR(TODAY()),1,1),Data_Booking!$A:$A,"&lt;="&amp;TODAY())</f>
        <v>0</v>
      </c>
      <c r="G14" s="44">
        <f t="shared" ca="1" si="0"/>
        <v>0</v>
      </c>
      <c r="H14" s="40">
        <f ca="1">SUMIFS(Data_Booking!$D:$D,Data_Booking!$B:$B,$B14,Data_Booking!$A:$A,"&gt;="&amp;EOMONTH(TODAY(),-1)+1,Data_Booking!$A:$A,"&lt;="&amp;EOMONTH(TODAY(),0))</f>
        <v>0</v>
      </c>
    </row>
    <row r="15" spans="1:8" x14ac:dyDescent="0.35">
      <c r="A15" s="18"/>
      <c r="B15" s="1"/>
      <c r="C15" s="29"/>
      <c r="D15" s="1"/>
      <c r="E15" s="35"/>
      <c r="F15" s="35">
        <f ca="1">SUMIFS(Data_Booking!$D:$D,Data_Booking!$B:$B,$B15,Data_Booking!$A:$A,"&gt;="&amp;DATE(YEAR(TODAY()),1,1),Data_Booking!$A:$A,"&lt;="&amp;TODAY())</f>
        <v>0</v>
      </c>
      <c r="G15" s="44">
        <f t="shared" ca="1" si="0"/>
        <v>0</v>
      </c>
      <c r="H15" s="40">
        <f ca="1">SUMIFS(Data_Booking!$D:$D,Data_Booking!$B:$B,$B15,Data_Booking!$A:$A,"&gt;="&amp;EOMONTH(TODAY(),-1)+1,Data_Booking!$A:$A,"&lt;="&amp;EOMONTH(TODAY(),0))</f>
        <v>0</v>
      </c>
    </row>
    <row r="16" spans="1:8" x14ac:dyDescent="0.35">
      <c r="A16" s="18"/>
      <c r="B16" s="1"/>
      <c r="C16" s="29"/>
      <c r="D16" s="1"/>
      <c r="E16" s="35"/>
      <c r="F16" s="35">
        <f ca="1">SUMIFS(Data_Booking!$D:$D,Data_Booking!$B:$B,$B16,Data_Booking!$A:$A,"&gt;="&amp;DATE(YEAR(TODAY()),1,1),Data_Booking!$A:$A,"&lt;="&amp;TODAY())</f>
        <v>0</v>
      </c>
      <c r="G16" s="44">
        <f t="shared" ca="1" si="0"/>
        <v>0</v>
      </c>
      <c r="H16" s="40">
        <f ca="1">SUMIFS(Data_Booking!$D:$D,Data_Booking!$B:$B,$B16,Data_Booking!$A:$A,"&gt;="&amp;EOMONTH(TODAY(),-1)+1,Data_Booking!$A:$A,"&lt;="&amp;EOMONTH(TODAY(),0))</f>
        <v>0</v>
      </c>
    </row>
    <row r="17" spans="1:8" x14ac:dyDescent="0.35">
      <c r="A17" s="18"/>
      <c r="B17" s="1"/>
      <c r="C17" s="29"/>
      <c r="D17" s="1"/>
      <c r="E17" s="36"/>
      <c r="F17" s="36">
        <f ca="1">SUMIFS(Data_Booking!$D:$D,Data_Booking!$B:$B,$B17,Data_Booking!$A:$A,"&gt;="&amp;DATE(YEAR(TODAY()),1,1),Data_Booking!$A:$A,"&lt;="&amp;TODAY())</f>
        <v>0</v>
      </c>
      <c r="G17" s="44">
        <f t="shared" ca="1" si="0"/>
        <v>0</v>
      </c>
      <c r="H17" s="40">
        <f ca="1">SUMIFS(Data_Booking!$D:$D,Data_Booking!$B:$B,$B17,Data_Booking!$A:$A,"&gt;="&amp;EOMONTH(TODAY(),-1)+1,Data_Booking!$A:$A,"&lt;="&amp;EOMONTH(TODAY(),0))</f>
        <v>0</v>
      </c>
    </row>
    <row r="18" spans="1:8" x14ac:dyDescent="0.35">
      <c r="A18" s="19"/>
      <c r="B18" s="16"/>
      <c r="C18" s="30"/>
      <c r="D18" s="16"/>
      <c r="E18" s="37"/>
      <c r="F18" s="37">
        <f ca="1">SUMIFS(Data_Booking!$D:$D,Data_Booking!$B:$B,$B18,Data_Booking!$A:$A,"&gt;="&amp;DATE(YEAR(TODAY()),1,1),Data_Booking!$A:$A,"&lt;="&amp;TODAY())</f>
        <v>0</v>
      </c>
      <c r="G18" s="44">
        <f t="shared" ca="1" si="0"/>
        <v>0</v>
      </c>
      <c r="H18" s="40">
        <f ca="1">SUMIFS(Data_Booking!$D:$D,Data_Booking!$B:$B,$B18,Data_Booking!$A:$A,"&gt;="&amp;EOMONTH(TODAY(),-1)+1,Data_Booking!$A:$A,"&lt;="&amp;EOMONTH(TODAY(),0))</f>
        <v>0</v>
      </c>
    </row>
    <row r="19" spans="1:8" x14ac:dyDescent="0.35">
      <c r="A19" s="19"/>
      <c r="B19" s="16"/>
      <c r="C19" s="30"/>
      <c r="D19" s="16"/>
      <c r="E19" s="37"/>
      <c r="F19" s="37">
        <f ca="1">SUMIFS(Data_Booking!$D:$D,Data_Booking!$B:$B,$B19,Data_Booking!$A:$A,"&gt;="&amp;DATE(YEAR(TODAY()),1,1),Data_Booking!$A:$A,"&lt;="&amp;TODAY())</f>
        <v>0</v>
      </c>
      <c r="G19" s="44">
        <f t="shared" ca="1" si="0"/>
        <v>0</v>
      </c>
      <c r="H19" s="40">
        <f ca="1">SUMIFS(Data_Booking!$D:$D,Data_Booking!$B:$B,$B19,Data_Booking!$A:$A,"&gt;="&amp;EOMONTH(TODAY(),-1)+1,Data_Booking!$A:$A,"&lt;="&amp;EOMONTH(TODAY(),0))</f>
        <v>0</v>
      </c>
    </row>
    <row r="20" spans="1:8" x14ac:dyDescent="0.35">
      <c r="A20" s="19"/>
      <c r="B20" s="16"/>
      <c r="C20" s="30"/>
      <c r="D20" s="16"/>
      <c r="E20" s="37"/>
      <c r="F20" s="37">
        <f ca="1">SUMIFS(Data_Booking!$D:$D,Data_Booking!$B:$B,$B20,Data_Booking!$A:$A,"&gt;="&amp;DATE(YEAR(TODAY()),1,1),Data_Booking!$A:$A,"&lt;="&amp;TODAY())</f>
        <v>0</v>
      </c>
      <c r="G20" s="44">
        <f t="shared" ca="1" si="0"/>
        <v>0</v>
      </c>
      <c r="H20" s="40">
        <f ca="1">SUMIFS(Data_Booking!$D:$D,Data_Booking!$B:$B,$B20,Data_Booking!$A:$A,"&gt;="&amp;EOMONTH(TODAY(),-1)+1,Data_Booking!$A:$A,"&lt;="&amp;EOMONTH(TODAY(),0))</f>
        <v>0</v>
      </c>
    </row>
    <row r="21" spans="1:8" x14ac:dyDescent="0.35">
      <c r="A21" s="19"/>
      <c r="B21" s="16"/>
      <c r="C21" s="30"/>
      <c r="D21" s="16"/>
      <c r="E21" s="37"/>
      <c r="F21" s="37">
        <f ca="1">SUMIFS(Data_Booking!$D:$D,Data_Booking!$B:$B,$B21,Data_Booking!$A:$A,"&gt;="&amp;DATE(YEAR(TODAY()),1,1),Data_Booking!$A:$A,"&lt;="&amp;TODAY())</f>
        <v>0</v>
      </c>
      <c r="G21" s="44">
        <f t="shared" ca="1" si="0"/>
        <v>0</v>
      </c>
      <c r="H21" s="40">
        <f ca="1">SUMIFS(Data_Booking!$D:$D,Data_Booking!$B:$B,$B21,Data_Booking!$A:$A,"&gt;="&amp;EOMONTH(TODAY(),-1)+1,Data_Booking!$A:$A,"&lt;="&amp;EOMONTH(TODAY(),0))</f>
        <v>0</v>
      </c>
    </row>
    <row r="22" spans="1:8" x14ac:dyDescent="0.35">
      <c r="A22" s="19"/>
      <c r="B22" s="16"/>
      <c r="C22" s="30"/>
      <c r="D22" s="16"/>
      <c r="E22" s="37"/>
      <c r="F22" s="37">
        <f ca="1">SUMIFS(Data_Booking!$D:$D,Data_Booking!$B:$B,$B22,Data_Booking!$A:$A,"&gt;="&amp;DATE(YEAR(TODAY()),1,1),Data_Booking!$A:$A,"&lt;="&amp;TODAY())</f>
        <v>0</v>
      </c>
      <c r="G22" s="44">
        <f t="shared" ca="1" si="0"/>
        <v>0</v>
      </c>
      <c r="H22" s="40">
        <f ca="1">SUMIFS(Data_Booking!$D:$D,Data_Booking!$B:$B,$B22,Data_Booking!$A:$A,"&gt;="&amp;EOMONTH(TODAY(),-1)+1,Data_Booking!$A:$A,"&lt;="&amp;EOMONTH(TODAY(),0))</f>
        <v>0</v>
      </c>
    </row>
    <row r="23" spans="1:8" x14ac:dyDescent="0.35">
      <c r="A23" s="19"/>
      <c r="B23" s="16"/>
      <c r="C23" s="30"/>
      <c r="D23" s="16"/>
      <c r="E23" s="37"/>
      <c r="F23" s="37">
        <f ca="1">SUMIFS(Data_Booking!$D:$D,Data_Booking!$B:$B,$B23,Data_Booking!$A:$A,"&gt;="&amp;DATE(YEAR(TODAY()),1,1),Data_Booking!$A:$A,"&lt;="&amp;TODAY())</f>
        <v>0</v>
      </c>
      <c r="G23" s="44">
        <f t="shared" ca="1" si="0"/>
        <v>0</v>
      </c>
      <c r="H23" s="40">
        <f ca="1">SUMIFS(Data_Booking!$D:$D,Data_Booking!$B:$B,$B23,Data_Booking!$A:$A,"&gt;="&amp;EOMONTH(TODAY(),-1)+1,Data_Booking!$A:$A,"&lt;="&amp;EOMONTH(TODAY(),0))</f>
        <v>0</v>
      </c>
    </row>
    <row r="24" spans="1:8" x14ac:dyDescent="0.35">
      <c r="A24" s="19"/>
      <c r="B24" s="16"/>
      <c r="C24" s="30"/>
      <c r="D24" s="16"/>
      <c r="E24" s="37"/>
      <c r="F24" s="37">
        <f ca="1">SUMIFS(Data_Booking!$D:$D,Data_Booking!$B:$B,$B24,Data_Booking!$A:$A,"&gt;="&amp;DATE(YEAR(TODAY()),1,1),Data_Booking!$A:$A,"&lt;="&amp;TODAY())</f>
        <v>0</v>
      </c>
      <c r="G24" s="44">
        <f t="shared" ca="1" si="0"/>
        <v>0</v>
      </c>
      <c r="H24" s="40">
        <f ca="1">SUMIFS(Data_Booking!$D:$D,Data_Booking!$B:$B,$B24,Data_Booking!$A:$A,"&gt;="&amp;EOMONTH(TODAY(),-1)+1,Data_Booking!$A:$A,"&lt;="&amp;EOMONTH(TODAY(),0))</f>
        <v>0</v>
      </c>
    </row>
    <row r="25" spans="1:8" x14ac:dyDescent="0.35">
      <c r="A25" s="19"/>
      <c r="B25" s="16"/>
      <c r="C25" s="30"/>
      <c r="D25" s="16"/>
      <c r="E25" s="37"/>
      <c r="F25" s="37">
        <f ca="1">SUMIFS(Data_Booking!$D:$D,Data_Booking!$B:$B,$B25,Data_Booking!$A:$A,"&gt;="&amp;DATE(YEAR(TODAY()),1,1),Data_Booking!$A:$A,"&lt;="&amp;TODAY())</f>
        <v>0</v>
      </c>
      <c r="G25" s="44">
        <f t="shared" ca="1" si="0"/>
        <v>0</v>
      </c>
      <c r="H25" s="40">
        <f ca="1">SUMIFS(Data_Booking!$D:$D,Data_Booking!$B:$B,$B25,Data_Booking!$A:$A,"&gt;="&amp;EOMONTH(TODAY(),-1)+1,Data_Booking!$A:$A,"&lt;="&amp;EOMONTH(TODAY(),0))</f>
        <v>0</v>
      </c>
    </row>
    <row r="26" spans="1:8" x14ac:dyDescent="0.35">
      <c r="A26" s="19"/>
      <c r="B26" s="16"/>
      <c r="C26" s="30"/>
      <c r="D26" s="16"/>
      <c r="E26" s="37"/>
      <c r="F26" s="37">
        <f ca="1">SUMIFS(Data_Booking!$D:$D,Data_Booking!$B:$B,$B26,Data_Booking!$A:$A,"&gt;="&amp;DATE(YEAR(TODAY()),1,1),Data_Booking!$A:$A,"&lt;="&amp;TODAY())</f>
        <v>0</v>
      </c>
      <c r="G26" s="44">
        <f t="shared" ca="1" si="0"/>
        <v>0</v>
      </c>
      <c r="H26" s="40">
        <f ca="1">SUMIFS(Data_Booking!$D:$D,Data_Booking!$B:$B,$B26,Data_Booking!$A:$A,"&gt;="&amp;EOMONTH(TODAY(),-1)+1,Data_Booking!$A:$A,"&lt;="&amp;EOMONTH(TODAY(),0))</f>
        <v>0</v>
      </c>
    </row>
    <row r="27" spans="1:8" x14ac:dyDescent="0.35">
      <c r="A27" s="19"/>
      <c r="B27" s="16"/>
      <c r="C27" s="30"/>
      <c r="D27" s="16"/>
      <c r="E27" s="37"/>
      <c r="F27" s="37">
        <f ca="1">SUMIFS(Data_Booking!$D:$D,Data_Booking!$B:$B,$B27,Data_Booking!$A:$A,"&gt;="&amp;DATE(YEAR(TODAY()),1,1),Data_Booking!$A:$A,"&lt;="&amp;TODAY())</f>
        <v>0</v>
      </c>
      <c r="G27" s="44">
        <f t="shared" ca="1" si="0"/>
        <v>0</v>
      </c>
      <c r="H27" s="40">
        <f ca="1">SUMIFS(Data_Booking!$D:$D,Data_Booking!$B:$B,$B27,Data_Booking!$A:$A,"&gt;="&amp;EOMONTH(TODAY(),-1)+1,Data_Booking!$A:$A,"&lt;="&amp;EOMONTH(TODAY(),0))</f>
        <v>0</v>
      </c>
    </row>
    <row r="28" spans="1:8" x14ac:dyDescent="0.35">
      <c r="A28" s="19"/>
      <c r="B28" s="16"/>
      <c r="C28" s="30"/>
      <c r="D28" s="16"/>
      <c r="E28" s="37"/>
      <c r="F28" s="37">
        <f ca="1">SUMIFS(Data_Booking!$D:$D,Data_Booking!$B:$B,$B28,Data_Booking!$A:$A,"&gt;="&amp;DATE(YEAR(TODAY()),1,1),Data_Booking!$A:$A,"&lt;="&amp;TODAY())</f>
        <v>0</v>
      </c>
      <c r="G28" s="44">
        <f t="shared" ca="1" si="0"/>
        <v>0</v>
      </c>
      <c r="H28" s="40">
        <f ca="1">SUMIFS(Data_Booking!$D:$D,Data_Booking!$B:$B,$B28,Data_Booking!$A:$A,"&gt;="&amp;EOMONTH(TODAY(),-1)+1,Data_Booking!$A:$A,"&lt;="&amp;EOMONTH(TODAY(),0))</f>
        <v>0</v>
      </c>
    </row>
    <row r="29" spans="1:8" x14ac:dyDescent="0.35">
      <c r="A29" s="19"/>
      <c r="B29" s="16"/>
      <c r="C29" s="30"/>
      <c r="D29" s="16"/>
      <c r="E29" s="37"/>
      <c r="F29" s="37">
        <f ca="1">SUMIFS(Data_Booking!$D:$D,Data_Booking!$B:$B,$B29,Data_Booking!$A:$A,"&gt;="&amp;DATE(YEAR(TODAY()),1,1),Data_Booking!$A:$A,"&lt;="&amp;TODAY())</f>
        <v>0</v>
      </c>
      <c r="G29" s="44">
        <f t="shared" ca="1" si="0"/>
        <v>0</v>
      </c>
      <c r="H29" s="40">
        <f ca="1">SUMIFS(Data_Booking!$D:$D,Data_Booking!$B:$B,$B29,Data_Booking!$A:$A,"&gt;="&amp;EOMONTH(TODAY(),-1)+1,Data_Booking!$A:$A,"&lt;="&amp;EOMONTH(TODAY(),0))</f>
        <v>0</v>
      </c>
    </row>
    <row r="30" spans="1:8" x14ac:dyDescent="0.35">
      <c r="A30" s="19"/>
      <c r="B30" s="16"/>
      <c r="C30" s="30"/>
      <c r="D30" s="16"/>
      <c r="E30" s="37"/>
      <c r="F30" s="37">
        <f ca="1">SUMIFS(Data_Booking!$D:$D,Data_Booking!$B:$B,$B30,Data_Booking!$A:$A,"&gt;="&amp;DATE(YEAR(TODAY()),1,1),Data_Booking!$A:$A,"&lt;="&amp;TODAY())</f>
        <v>0</v>
      </c>
      <c r="G30" s="44">
        <f t="shared" ca="1" si="0"/>
        <v>0</v>
      </c>
      <c r="H30" s="40">
        <f ca="1">SUMIFS(Data_Booking!$D:$D,Data_Booking!$B:$B,$B30,Data_Booking!$A:$A,"&gt;="&amp;EOMONTH(TODAY(),-1)+1,Data_Booking!$A:$A,"&lt;="&amp;EOMONTH(TODAY(),0))</f>
        <v>0</v>
      </c>
    </row>
    <row r="31" spans="1:8" x14ac:dyDescent="0.35">
      <c r="A31" s="19"/>
      <c r="B31" s="16"/>
      <c r="C31" s="30"/>
      <c r="D31" s="16"/>
      <c r="E31" s="37"/>
      <c r="F31" s="37">
        <f ca="1">SUMIFS(Data_Booking!$D:$D,Data_Booking!$B:$B,$B31,Data_Booking!$A:$A,"&gt;="&amp;DATE(YEAR(TODAY()),1,1),Data_Booking!$A:$A,"&lt;="&amp;TODAY())</f>
        <v>0</v>
      </c>
      <c r="G31" s="44">
        <f t="shared" ca="1" si="0"/>
        <v>0</v>
      </c>
      <c r="H31" s="40">
        <f ca="1">SUMIFS(Data_Booking!$D:$D,Data_Booking!$B:$B,$B31,Data_Booking!$A:$A,"&gt;="&amp;EOMONTH(TODAY(),-1)+1,Data_Booking!$A:$A,"&lt;="&amp;EOMONTH(TODAY(),0))</f>
        <v>0</v>
      </c>
    </row>
    <row r="32" spans="1:8" x14ac:dyDescent="0.35">
      <c r="A32" s="19"/>
      <c r="B32" s="16"/>
      <c r="C32" s="30"/>
      <c r="D32" s="16"/>
      <c r="E32" s="37"/>
      <c r="F32" s="37">
        <f ca="1">SUMIFS(Data_Booking!$D:$D,Data_Booking!$B:$B,$B32,Data_Booking!$A:$A,"&gt;="&amp;DATE(YEAR(TODAY()),1,1),Data_Booking!$A:$A,"&lt;="&amp;TODAY())</f>
        <v>0</v>
      </c>
      <c r="G32" s="44">
        <f t="shared" ca="1" si="0"/>
        <v>0</v>
      </c>
      <c r="H32" s="40">
        <f ca="1">SUMIFS(Data_Booking!$D:$D,Data_Booking!$B:$B,$B32,Data_Booking!$A:$A,"&gt;="&amp;EOMONTH(TODAY(),-1)+1,Data_Booking!$A:$A,"&lt;="&amp;EOMONTH(TODAY(),0))</f>
        <v>0</v>
      </c>
    </row>
    <row r="33" spans="1:8" x14ac:dyDescent="0.35">
      <c r="A33" s="19"/>
      <c r="B33" s="16"/>
      <c r="C33" s="30"/>
      <c r="D33" s="16"/>
      <c r="E33" s="37"/>
      <c r="F33" s="37">
        <f ca="1">SUMIFS(Data_Booking!$D:$D,Data_Booking!$B:$B,$B33,Data_Booking!$A:$A,"&gt;="&amp;DATE(YEAR(TODAY()),1,1),Data_Booking!$A:$A,"&lt;="&amp;TODAY())</f>
        <v>0</v>
      </c>
      <c r="G33" s="44">
        <f t="shared" ca="1" si="0"/>
        <v>0</v>
      </c>
      <c r="H33" s="40">
        <f ca="1">SUMIFS(Data_Booking!$D:$D,Data_Booking!$B:$B,$B33,Data_Booking!$A:$A,"&gt;="&amp;EOMONTH(TODAY(),-1)+1,Data_Booking!$A:$A,"&lt;="&amp;EOMONTH(TODAY(),0))</f>
        <v>0</v>
      </c>
    </row>
    <row r="34" spans="1:8" x14ac:dyDescent="0.35">
      <c r="A34" s="19"/>
      <c r="B34" s="16"/>
      <c r="C34" s="30"/>
      <c r="D34" s="16"/>
      <c r="E34" s="37"/>
      <c r="F34" s="37">
        <f ca="1">SUMIFS(Data_Booking!$D:$D,Data_Booking!$B:$B,$B34,Data_Booking!$A:$A,"&gt;="&amp;DATE(YEAR(TODAY()),1,1),Data_Booking!$A:$A,"&lt;="&amp;TODAY())</f>
        <v>0</v>
      </c>
      <c r="G34" s="44">
        <f t="shared" ref="G34:G65" ca="1" si="1">IFERROR(F34/E34,0)</f>
        <v>0</v>
      </c>
      <c r="H34" s="40">
        <f ca="1">SUMIFS(Data_Booking!$D:$D,Data_Booking!$B:$B,$B34,Data_Booking!$A:$A,"&gt;="&amp;EOMONTH(TODAY(),-1)+1,Data_Booking!$A:$A,"&lt;="&amp;EOMONTH(TODAY(),0))</f>
        <v>0</v>
      </c>
    </row>
    <row r="35" spans="1:8" x14ac:dyDescent="0.35">
      <c r="A35" s="19"/>
      <c r="B35" s="16"/>
      <c r="C35" s="30"/>
      <c r="D35" s="16"/>
      <c r="E35" s="37"/>
      <c r="F35" s="37">
        <f ca="1">SUMIFS(Data_Booking!$D:$D,Data_Booking!$B:$B,$B35,Data_Booking!$A:$A,"&gt;="&amp;DATE(YEAR(TODAY()),1,1),Data_Booking!$A:$A,"&lt;="&amp;TODAY())</f>
        <v>0</v>
      </c>
      <c r="G35" s="44">
        <f t="shared" ca="1" si="1"/>
        <v>0</v>
      </c>
      <c r="H35" s="40">
        <f ca="1">SUMIFS(Data_Booking!$D:$D,Data_Booking!$B:$B,$B35,Data_Booking!$A:$A,"&gt;="&amp;EOMONTH(TODAY(),-1)+1,Data_Booking!$A:$A,"&lt;="&amp;EOMONTH(TODAY(),0))</f>
        <v>0</v>
      </c>
    </row>
    <row r="36" spans="1:8" x14ac:dyDescent="0.35">
      <c r="A36" s="19"/>
      <c r="B36" s="16"/>
      <c r="C36" s="30"/>
      <c r="D36" s="16"/>
      <c r="E36" s="37"/>
      <c r="F36" s="37">
        <f ca="1">SUMIFS(Data_Booking!$D:$D,Data_Booking!$B:$B,$B36,Data_Booking!$A:$A,"&gt;="&amp;DATE(YEAR(TODAY()),1,1),Data_Booking!$A:$A,"&lt;="&amp;TODAY())</f>
        <v>0</v>
      </c>
      <c r="G36" s="44">
        <f t="shared" ca="1" si="1"/>
        <v>0</v>
      </c>
      <c r="H36" s="40">
        <f ca="1">SUMIFS(Data_Booking!$D:$D,Data_Booking!$B:$B,$B36,Data_Booking!$A:$A,"&gt;="&amp;EOMONTH(TODAY(),-1)+1,Data_Booking!$A:$A,"&lt;="&amp;EOMONTH(TODAY(),0))</f>
        <v>0</v>
      </c>
    </row>
    <row r="37" spans="1:8" x14ac:dyDescent="0.35">
      <c r="A37" s="19"/>
      <c r="B37" s="16"/>
      <c r="C37" s="30"/>
      <c r="D37" s="16"/>
      <c r="E37" s="37"/>
      <c r="F37" s="37">
        <f ca="1">SUMIFS(Data_Booking!$D:$D,Data_Booking!$B:$B,$B37,Data_Booking!$A:$A,"&gt;="&amp;DATE(YEAR(TODAY()),1,1),Data_Booking!$A:$A,"&lt;="&amp;TODAY())</f>
        <v>0</v>
      </c>
      <c r="G37" s="44">
        <f t="shared" ca="1" si="1"/>
        <v>0</v>
      </c>
      <c r="H37" s="40">
        <f ca="1">SUMIFS(Data_Booking!$D:$D,Data_Booking!$B:$B,$B37,Data_Booking!$A:$A,"&gt;="&amp;EOMONTH(TODAY(),-1)+1,Data_Booking!$A:$A,"&lt;="&amp;EOMONTH(TODAY(),0))</f>
        <v>0</v>
      </c>
    </row>
    <row r="38" spans="1:8" x14ac:dyDescent="0.35">
      <c r="A38" s="19"/>
      <c r="B38" s="16"/>
      <c r="C38" s="30"/>
      <c r="D38" s="16"/>
      <c r="E38" s="37"/>
      <c r="F38" s="37">
        <f ca="1">SUMIFS(Data_Booking!$D:$D,Data_Booking!$B:$B,$B38,Data_Booking!$A:$A,"&gt;="&amp;DATE(YEAR(TODAY()),1,1),Data_Booking!$A:$A,"&lt;="&amp;TODAY())</f>
        <v>0</v>
      </c>
      <c r="G38" s="44">
        <f t="shared" ca="1" si="1"/>
        <v>0</v>
      </c>
      <c r="H38" s="40">
        <f ca="1">SUMIFS(Data_Booking!$D:$D,Data_Booking!$B:$B,$B38,Data_Booking!$A:$A,"&gt;="&amp;EOMONTH(TODAY(),-1)+1,Data_Booking!$A:$A,"&lt;="&amp;EOMONTH(TODAY(),0))</f>
        <v>0</v>
      </c>
    </row>
    <row r="39" spans="1:8" x14ac:dyDescent="0.35">
      <c r="A39" s="19"/>
      <c r="B39" s="16"/>
      <c r="C39" s="30"/>
      <c r="D39" s="16"/>
      <c r="E39" s="37"/>
      <c r="F39" s="37">
        <f ca="1">SUMIFS(Data_Booking!$D:$D,Data_Booking!$B:$B,$B39,Data_Booking!$A:$A,"&gt;="&amp;DATE(YEAR(TODAY()),1,1),Data_Booking!$A:$A,"&lt;="&amp;TODAY())</f>
        <v>0</v>
      </c>
      <c r="G39" s="44">
        <f t="shared" ca="1" si="1"/>
        <v>0</v>
      </c>
      <c r="H39" s="40">
        <f ca="1">SUMIFS(Data_Booking!$D:$D,Data_Booking!$B:$B,$B39,Data_Booking!$A:$A,"&gt;="&amp;EOMONTH(TODAY(),-1)+1,Data_Booking!$A:$A,"&lt;="&amp;EOMONTH(TODAY(),0))</f>
        <v>0</v>
      </c>
    </row>
    <row r="40" spans="1:8" x14ac:dyDescent="0.35">
      <c r="A40" s="19"/>
      <c r="B40" s="16"/>
      <c r="C40" s="30"/>
      <c r="D40" s="16"/>
      <c r="E40" s="37"/>
      <c r="F40" s="37">
        <f ca="1">SUMIFS(Data_Booking!$D:$D,Data_Booking!$B:$B,$B40,Data_Booking!$A:$A,"&gt;="&amp;DATE(YEAR(TODAY()),1,1),Data_Booking!$A:$A,"&lt;="&amp;TODAY())</f>
        <v>0</v>
      </c>
      <c r="G40" s="44">
        <f t="shared" ca="1" si="1"/>
        <v>0</v>
      </c>
      <c r="H40" s="40">
        <f ca="1">SUMIFS(Data_Booking!$D:$D,Data_Booking!$B:$B,$B40,Data_Booking!$A:$A,"&gt;="&amp;EOMONTH(TODAY(),-1)+1,Data_Booking!$A:$A,"&lt;="&amp;EOMONTH(TODAY(),0))</f>
        <v>0</v>
      </c>
    </row>
    <row r="41" spans="1:8" x14ac:dyDescent="0.35">
      <c r="A41" s="19"/>
      <c r="B41" s="16"/>
      <c r="C41" s="30"/>
      <c r="D41" s="16"/>
      <c r="E41" s="37"/>
      <c r="F41" s="37">
        <f ca="1">SUMIFS(Data_Booking!$D:$D,Data_Booking!$B:$B,$B41,Data_Booking!$A:$A,"&gt;="&amp;DATE(YEAR(TODAY()),1,1),Data_Booking!$A:$A,"&lt;="&amp;TODAY())</f>
        <v>0</v>
      </c>
      <c r="G41" s="44">
        <f t="shared" ca="1" si="1"/>
        <v>0</v>
      </c>
      <c r="H41" s="40">
        <f ca="1">SUMIFS(Data_Booking!$D:$D,Data_Booking!$B:$B,$B41,Data_Booking!$A:$A,"&gt;="&amp;EOMONTH(TODAY(),-1)+1,Data_Booking!$A:$A,"&lt;="&amp;EOMONTH(TODAY(),0))</f>
        <v>0</v>
      </c>
    </row>
    <row r="42" spans="1:8" x14ac:dyDescent="0.35">
      <c r="A42" s="19"/>
      <c r="B42" s="16"/>
      <c r="C42" s="30"/>
      <c r="D42" s="16"/>
      <c r="E42" s="37"/>
      <c r="F42" s="37">
        <f ca="1">SUMIFS(Data_Booking!$D:$D,Data_Booking!$B:$B,$B42,Data_Booking!$A:$A,"&gt;="&amp;DATE(YEAR(TODAY()),1,1),Data_Booking!$A:$A,"&lt;="&amp;TODAY())</f>
        <v>0</v>
      </c>
      <c r="G42" s="44">
        <f t="shared" ca="1" si="1"/>
        <v>0</v>
      </c>
      <c r="H42" s="40">
        <f ca="1">SUMIFS(Data_Booking!$D:$D,Data_Booking!$B:$B,$B42,Data_Booking!$A:$A,"&gt;="&amp;EOMONTH(TODAY(),-1)+1,Data_Booking!$A:$A,"&lt;="&amp;EOMONTH(TODAY(),0))</f>
        <v>0</v>
      </c>
    </row>
    <row r="43" spans="1:8" x14ac:dyDescent="0.35">
      <c r="A43" s="19"/>
      <c r="B43" s="16"/>
      <c r="C43" s="30"/>
      <c r="D43" s="16"/>
      <c r="E43" s="37"/>
      <c r="F43" s="37">
        <f ca="1">SUMIFS(Data_Booking!$D:$D,Data_Booking!$B:$B,$B43,Data_Booking!$A:$A,"&gt;="&amp;DATE(YEAR(TODAY()),1,1),Data_Booking!$A:$A,"&lt;="&amp;TODAY())</f>
        <v>0</v>
      </c>
      <c r="G43" s="44">
        <f t="shared" ca="1" si="1"/>
        <v>0</v>
      </c>
      <c r="H43" s="40">
        <f ca="1">SUMIFS(Data_Booking!$D:$D,Data_Booking!$B:$B,$B43,Data_Booking!$A:$A,"&gt;="&amp;EOMONTH(TODAY(),-1)+1,Data_Booking!$A:$A,"&lt;="&amp;EOMONTH(TODAY(),0))</f>
        <v>0</v>
      </c>
    </row>
    <row r="44" spans="1:8" x14ac:dyDescent="0.35">
      <c r="A44" s="19"/>
      <c r="B44" s="16"/>
      <c r="C44" s="30"/>
      <c r="D44" s="16"/>
      <c r="E44" s="37"/>
      <c r="F44" s="37">
        <f ca="1">SUMIFS(Data_Booking!$D:$D,Data_Booking!$B:$B,$B44,Data_Booking!$A:$A,"&gt;="&amp;DATE(YEAR(TODAY()),1,1),Data_Booking!$A:$A,"&lt;="&amp;TODAY())</f>
        <v>0</v>
      </c>
      <c r="G44" s="44">
        <f t="shared" ca="1" si="1"/>
        <v>0</v>
      </c>
      <c r="H44" s="40">
        <f ca="1">SUMIFS(Data_Booking!$D:$D,Data_Booking!$B:$B,$B44,Data_Booking!$A:$A,"&gt;="&amp;EOMONTH(TODAY(),-1)+1,Data_Booking!$A:$A,"&lt;="&amp;EOMONTH(TODAY(),0))</f>
        <v>0</v>
      </c>
    </row>
    <row r="45" spans="1:8" x14ac:dyDescent="0.35">
      <c r="A45" s="19"/>
      <c r="B45" s="16"/>
      <c r="C45" s="30"/>
      <c r="D45" s="16"/>
      <c r="E45" s="37"/>
      <c r="F45" s="37">
        <f ca="1">SUMIFS(Data_Booking!$D:$D,Data_Booking!$B:$B,$B45,Data_Booking!$A:$A,"&gt;="&amp;DATE(YEAR(TODAY()),1,1),Data_Booking!$A:$A,"&lt;="&amp;TODAY())</f>
        <v>0</v>
      </c>
      <c r="G45" s="44">
        <f t="shared" ca="1" si="1"/>
        <v>0</v>
      </c>
      <c r="H45" s="40">
        <f ca="1">SUMIFS(Data_Booking!$D:$D,Data_Booking!$B:$B,$B45,Data_Booking!$A:$A,"&gt;="&amp;EOMONTH(TODAY(),-1)+1,Data_Booking!$A:$A,"&lt;="&amp;EOMONTH(TODAY(),0))</f>
        <v>0</v>
      </c>
    </row>
    <row r="46" spans="1:8" x14ac:dyDescent="0.35">
      <c r="A46" s="19"/>
      <c r="B46" s="16"/>
      <c r="C46" s="30"/>
      <c r="D46" s="16"/>
      <c r="E46" s="37"/>
      <c r="F46" s="37">
        <f ca="1">SUMIFS(Data_Booking!$D:$D,Data_Booking!$B:$B,$B46,Data_Booking!$A:$A,"&gt;="&amp;DATE(YEAR(TODAY()),1,1),Data_Booking!$A:$A,"&lt;="&amp;TODAY())</f>
        <v>0</v>
      </c>
      <c r="G46" s="44">
        <f t="shared" ca="1" si="1"/>
        <v>0</v>
      </c>
      <c r="H46" s="40">
        <f ca="1">SUMIFS(Data_Booking!$D:$D,Data_Booking!$B:$B,$B46,Data_Booking!$A:$A,"&gt;="&amp;EOMONTH(TODAY(),-1)+1,Data_Booking!$A:$A,"&lt;="&amp;EOMONTH(TODAY(),0))</f>
        <v>0</v>
      </c>
    </row>
    <row r="47" spans="1:8" x14ac:dyDescent="0.35">
      <c r="A47" s="19"/>
      <c r="B47" s="16"/>
      <c r="C47" s="30"/>
      <c r="D47" s="16"/>
      <c r="E47" s="37"/>
      <c r="F47" s="37">
        <f ca="1">SUMIFS(Data_Booking!$D:$D,Data_Booking!$B:$B,$B47,Data_Booking!$A:$A,"&gt;="&amp;DATE(YEAR(TODAY()),1,1),Data_Booking!$A:$A,"&lt;="&amp;TODAY())</f>
        <v>0</v>
      </c>
      <c r="G47" s="44">
        <f t="shared" ca="1" si="1"/>
        <v>0</v>
      </c>
      <c r="H47" s="40">
        <f ca="1">SUMIFS(Data_Booking!$D:$D,Data_Booking!$B:$B,$B47,Data_Booking!$A:$A,"&gt;="&amp;EOMONTH(TODAY(),-1)+1,Data_Booking!$A:$A,"&lt;="&amp;EOMONTH(TODAY(),0))</f>
        <v>0</v>
      </c>
    </row>
    <row r="48" spans="1:8" x14ac:dyDescent="0.35">
      <c r="A48" s="19"/>
      <c r="B48" s="16"/>
      <c r="C48" s="30"/>
      <c r="D48" s="16"/>
      <c r="E48" s="37"/>
      <c r="F48" s="37">
        <f ca="1">SUMIFS(Data_Booking!$D:$D,Data_Booking!$B:$B,$B48,Data_Booking!$A:$A,"&gt;="&amp;DATE(YEAR(TODAY()),1,1),Data_Booking!$A:$A,"&lt;="&amp;TODAY())</f>
        <v>0</v>
      </c>
      <c r="G48" s="44">
        <f t="shared" ca="1" si="1"/>
        <v>0</v>
      </c>
      <c r="H48" s="40">
        <f ca="1">SUMIFS(Data_Booking!$D:$D,Data_Booking!$B:$B,$B48,Data_Booking!$A:$A,"&gt;="&amp;EOMONTH(TODAY(),-1)+1,Data_Booking!$A:$A,"&lt;="&amp;EOMONTH(TODAY(),0))</f>
        <v>0</v>
      </c>
    </row>
    <row r="49" spans="1:8" x14ac:dyDescent="0.35">
      <c r="A49" s="19"/>
      <c r="B49" s="16"/>
      <c r="C49" s="30"/>
      <c r="D49" s="16"/>
      <c r="E49" s="37"/>
      <c r="F49" s="37">
        <f ca="1">SUMIFS(Data_Booking!$D:$D,Data_Booking!$B:$B,$B49,Data_Booking!$A:$A,"&gt;="&amp;DATE(YEAR(TODAY()),1,1),Data_Booking!$A:$A,"&lt;="&amp;TODAY())</f>
        <v>0</v>
      </c>
      <c r="G49" s="44">
        <f t="shared" ca="1" si="1"/>
        <v>0</v>
      </c>
      <c r="H49" s="40">
        <f ca="1">SUMIFS(Data_Booking!$D:$D,Data_Booking!$B:$B,$B49,Data_Booking!$A:$A,"&gt;="&amp;EOMONTH(TODAY(),-1)+1,Data_Booking!$A:$A,"&lt;="&amp;EOMONTH(TODAY(),0))</f>
        <v>0</v>
      </c>
    </row>
    <row r="50" spans="1:8" x14ac:dyDescent="0.35">
      <c r="A50" s="19"/>
      <c r="B50" s="16"/>
      <c r="C50" s="30"/>
      <c r="D50" s="16"/>
      <c r="E50" s="37"/>
      <c r="F50" s="37">
        <f ca="1">SUMIFS(Data_Booking!$D:$D,Data_Booking!$B:$B,$B50,Data_Booking!$A:$A,"&gt;="&amp;DATE(YEAR(TODAY()),1,1),Data_Booking!$A:$A,"&lt;="&amp;TODAY())</f>
        <v>0</v>
      </c>
      <c r="G50" s="44">
        <f t="shared" ca="1" si="1"/>
        <v>0</v>
      </c>
      <c r="H50" s="40">
        <f ca="1">SUMIFS(Data_Booking!$D:$D,Data_Booking!$B:$B,$B50,Data_Booking!$A:$A,"&gt;="&amp;EOMONTH(TODAY(),-1)+1,Data_Booking!$A:$A,"&lt;="&amp;EOMONTH(TODAY(),0))</f>
        <v>0</v>
      </c>
    </row>
    <row r="51" spans="1:8" x14ac:dyDescent="0.35">
      <c r="A51" s="19"/>
      <c r="B51" s="16"/>
      <c r="C51" s="30"/>
      <c r="D51" s="16"/>
      <c r="E51" s="37"/>
      <c r="F51" s="37">
        <f ca="1">SUMIFS(Data_Booking!$D:$D,Data_Booking!$B:$B,$B51,Data_Booking!$A:$A,"&gt;="&amp;DATE(YEAR(TODAY()),1,1),Data_Booking!$A:$A,"&lt;="&amp;TODAY())</f>
        <v>0</v>
      </c>
      <c r="G51" s="44">
        <f t="shared" ca="1" si="1"/>
        <v>0</v>
      </c>
      <c r="H51" s="40">
        <f ca="1">SUMIFS(Data_Booking!$D:$D,Data_Booking!$B:$B,$B51,Data_Booking!$A:$A,"&gt;="&amp;EOMONTH(TODAY(),-1)+1,Data_Booking!$A:$A,"&lt;="&amp;EOMONTH(TODAY(),0))</f>
        <v>0</v>
      </c>
    </row>
    <row r="52" spans="1:8" x14ac:dyDescent="0.35">
      <c r="A52" s="19"/>
      <c r="B52" s="16"/>
      <c r="C52" s="30"/>
      <c r="D52" s="16"/>
      <c r="E52" s="37"/>
      <c r="F52" s="37">
        <f ca="1">SUMIFS(Data_Booking!$D:$D,Data_Booking!$B:$B,$B52,Data_Booking!$A:$A,"&gt;="&amp;DATE(YEAR(TODAY()),1,1),Data_Booking!$A:$A,"&lt;="&amp;TODAY())</f>
        <v>0</v>
      </c>
      <c r="G52" s="44">
        <f t="shared" ca="1" si="1"/>
        <v>0</v>
      </c>
      <c r="H52" s="40">
        <f ca="1">SUMIFS(Data_Booking!$D:$D,Data_Booking!$B:$B,$B52,Data_Booking!$A:$A,"&gt;="&amp;EOMONTH(TODAY(),-1)+1,Data_Booking!$A:$A,"&lt;="&amp;EOMONTH(TODAY(),0))</f>
        <v>0</v>
      </c>
    </row>
    <row r="53" spans="1:8" x14ac:dyDescent="0.35">
      <c r="A53" s="19"/>
      <c r="B53" s="16"/>
      <c r="C53" s="30"/>
      <c r="D53" s="16"/>
      <c r="E53" s="37"/>
      <c r="F53" s="37">
        <f ca="1">SUMIFS(Data_Booking!$D:$D,Data_Booking!$B:$B,$B53,Data_Booking!$A:$A,"&gt;="&amp;DATE(YEAR(TODAY()),1,1),Data_Booking!$A:$A,"&lt;="&amp;TODAY())</f>
        <v>0</v>
      </c>
      <c r="G53" s="44">
        <f t="shared" ca="1" si="1"/>
        <v>0</v>
      </c>
      <c r="H53" s="40">
        <f ca="1">SUMIFS(Data_Booking!$D:$D,Data_Booking!$B:$B,$B53,Data_Booking!$A:$A,"&gt;="&amp;EOMONTH(TODAY(),-1)+1,Data_Booking!$A:$A,"&lt;="&amp;EOMONTH(TODAY(),0))</f>
        <v>0</v>
      </c>
    </row>
    <row r="54" spans="1:8" x14ac:dyDescent="0.35">
      <c r="A54" s="19"/>
      <c r="B54" s="16"/>
      <c r="C54" s="30"/>
      <c r="D54" s="16"/>
      <c r="E54" s="37"/>
      <c r="F54" s="37">
        <f ca="1">SUMIFS(Data_Booking!$D:$D,Data_Booking!$B:$B,$B54,Data_Booking!$A:$A,"&gt;="&amp;DATE(YEAR(TODAY()),1,1),Data_Booking!$A:$A,"&lt;="&amp;TODAY())</f>
        <v>0</v>
      </c>
      <c r="G54" s="44">
        <f t="shared" ca="1" si="1"/>
        <v>0</v>
      </c>
      <c r="H54" s="40">
        <f ca="1">SUMIFS(Data_Booking!$D:$D,Data_Booking!$B:$B,$B54,Data_Booking!$A:$A,"&gt;="&amp;EOMONTH(TODAY(),-1)+1,Data_Booking!$A:$A,"&lt;="&amp;EOMONTH(TODAY(),0))</f>
        <v>0</v>
      </c>
    </row>
    <row r="55" spans="1:8" x14ac:dyDescent="0.35">
      <c r="A55" s="19"/>
      <c r="B55" s="16"/>
      <c r="C55" s="30"/>
      <c r="D55" s="16"/>
      <c r="E55" s="37"/>
      <c r="F55" s="37">
        <f ca="1">SUMIFS(Data_Booking!$D:$D,Data_Booking!$B:$B,$B55,Data_Booking!$A:$A,"&gt;="&amp;DATE(YEAR(TODAY()),1,1),Data_Booking!$A:$A,"&lt;="&amp;TODAY())</f>
        <v>0</v>
      </c>
      <c r="G55" s="44">
        <f t="shared" ca="1" si="1"/>
        <v>0</v>
      </c>
      <c r="H55" s="40">
        <f ca="1">SUMIFS(Data_Booking!$D:$D,Data_Booking!$B:$B,$B55,Data_Booking!$A:$A,"&gt;="&amp;EOMONTH(TODAY(),-1)+1,Data_Booking!$A:$A,"&lt;="&amp;EOMONTH(TODAY(),0))</f>
        <v>0</v>
      </c>
    </row>
    <row r="56" spans="1:8" x14ac:dyDescent="0.35">
      <c r="A56" s="19"/>
      <c r="B56" s="16"/>
      <c r="C56" s="30"/>
      <c r="D56" s="16"/>
      <c r="E56" s="37"/>
      <c r="F56" s="37">
        <f ca="1">SUMIFS(Data_Booking!$D:$D,Data_Booking!$B:$B,$B56,Data_Booking!$A:$A,"&gt;="&amp;DATE(YEAR(TODAY()),1,1),Data_Booking!$A:$A,"&lt;="&amp;TODAY())</f>
        <v>0</v>
      </c>
      <c r="G56" s="44">
        <f t="shared" ca="1" si="1"/>
        <v>0</v>
      </c>
      <c r="H56" s="40">
        <f ca="1">SUMIFS(Data_Booking!$D:$D,Data_Booking!$B:$B,$B56,Data_Booking!$A:$A,"&gt;="&amp;EOMONTH(TODAY(),-1)+1,Data_Booking!$A:$A,"&lt;="&amp;EOMONTH(TODAY(),0))</f>
        <v>0</v>
      </c>
    </row>
    <row r="57" spans="1:8" x14ac:dyDescent="0.35">
      <c r="A57" s="19"/>
      <c r="B57" s="16"/>
      <c r="C57" s="30"/>
      <c r="D57" s="16"/>
      <c r="E57" s="37"/>
      <c r="F57" s="37">
        <f ca="1">SUMIFS(Data_Booking!$D:$D,Data_Booking!$B:$B,$B57,Data_Booking!$A:$A,"&gt;="&amp;DATE(YEAR(TODAY()),1,1),Data_Booking!$A:$A,"&lt;="&amp;TODAY())</f>
        <v>0</v>
      </c>
      <c r="G57" s="44">
        <f t="shared" ca="1" si="1"/>
        <v>0</v>
      </c>
      <c r="H57" s="40">
        <f ca="1">SUMIFS(Data_Booking!$D:$D,Data_Booking!$B:$B,$B57,Data_Booking!$A:$A,"&gt;="&amp;EOMONTH(TODAY(),-1)+1,Data_Booking!$A:$A,"&lt;="&amp;EOMONTH(TODAY(),0))</f>
        <v>0</v>
      </c>
    </row>
    <row r="58" spans="1:8" x14ac:dyDescent="0.35">
      <c r="A58" s="19"/>
      <c r="B58" s="16"/>
      <c r="C58" s="30"/>
      <c r="D58" s="16"/>
      <c r="E58" s="37"/>
      <c r="F58" s="37">
        <f ca="1">SUMIFS(Data_Booking!$D:$D,Data_Booking!$B:$B,$B58,Data_Booking!$A:$A,"&gt;="&amp;DATE(YEAR(TODAY()),1,1),Data_Booking!$A:$A,"&lt;="&amp;TODAY())</f>
        <v>0</v>
      </c>
      <c r="G58" s="44">
        <f t="shared" ca="1" si="1"/>
        <v>0</v>
      </c>
      <c r="H58" s="40">
        <f ca="1">SUMIFS(Data_Booking!$D:$D,Data_Booking!$B:$B,$B58,Data_Booking!$A:$A,"&gt;="&amp;EOMONTH(TODAY(),-1)+1,Data_Booking!$A:$A,"&lt;="&amp;EOMONTH(TODAY(),0))</f>
        <v>0</v>
      </c>
    </row>
    <row r="59" spans="1:8" x14ac:dyDescent="0.35">
      <c r="A59" s="19"/>
      <c r="B59" s="16"/>
      <c r="C59" s="30"/>
      <c r="D59" s="16"/>
      <c r="E59" s="37"/>
      <c r="F59" s="37">
        <f ca="1">SUMIFS(Data_Booking!$D:$D,Data_Booking!$B:$B,$B59,Data_Booking!$A:$A,"&gt;="&amp;DATE(YEAR(TODAY()),1,1),Data_Booking!$A:$A,"&lt;="&amp;TODAY())</f>
        <v>0</v>
      </c>
      <c r="G59" s="44">
        <f t="shared" ca="1" si="1"/>
        <v>0</v>
      </c>
      <c r="H59" s="40">
        <f ca="1">SUMIFS(Data_Booking!$D:$D,Data_Booking!$B:$B,$B59,Data_Booking!$A:$A,"&gt;="&amp;EOMONTH(TODAY(),-1)+1,Data_Booking!$A:$A,"&lt;="&amp;EOMONTH(TODAY(),0))</f>
        <v>0</v>
      </c>
    </row>
    <row r="60" spans="1:8" x14ac:dyDescent="0.35">
      <c r="A60" s="19"/>
      <c r="B60" s="16"/>
      <c r="C60" s="30"/>
      <c r="D60" s="16"/>
      <c r="E60" s="37"/>
      <c r="F60" s="37">
        <f ca="1">SUMIFS(Data_Booking!$D:$D,Data_Booking!$B:$B,$B60,Data_Booking!$A:$A,"&gt;="&amp;DATE(YEAR(TODAY()),1,1),Data_Booking!$A:$A,"&lt;="&amp;TODAY())</f>
        <v>0</v>
      </c>
      <c r="G60" s="44">
        <f t="shared" ca="1" si="1"/>
        <v>0</v>
      </c>
      <c r="H60" s="40">
        <f ca="1">SUMIFS(Data_Booking!$D:$D,Data_Booking!$B:$B,$B60,Data_Booking!$A:$A,"&gt;="&amp;EOMONTH(TODAY(),-1)+1,Data_Booking!$A:$A,"&lt;="&amp;EOMONTH(TODAY(),0))</f>
        <v>0</v>
      </c>
    </row>
    <row r="61" spans="1:8" x14ac:dyDescent="0.35">
      <c r="A61" s="19"/>
      <c r="B61" s="16"/>
      <c r="C61" s="30"/>
      <c r="D61" s="16"/>
      <c r="E61" s="37"/>
      <c r="F61" s="37">
        <f ca="1">SUMIFS(Data_Booking!$D:$D,Data_Booking!$B:$B,$B61,Data_Booking!$A:$A,"&gt;="&amp;DATE(YEAR(TODAY()),1,1),Data_Booking!$A:$A,"&lt;="&amp;TODAY())</f>
        <v>0</v>
      </c>
      <c r="G61" s="44">
        <f t="shared" ca="1" si="1"/>
        <v>0</v>
      </c>
      <c r="H61" s="40">
        <f ca="1">SUMIFS(Data_Booking!$D:$D,Data_Booking!$B:$B,$B61,Data_Booking!$A:$A,"&gt;="&amp;EOMONTH(TODAY(),-1)+1,Data_Booking!$A:$A,"&lt;="&amp;EOMONTH(TODAY(),0))</f>
        <v>0</v>
      </c>
    </row>
    <row r="62" spans="1:8" x14ac:dyDescent="0.35">
      <c r="A62" s="19"/>
      <c r="B62" s="16"/>
      <c r="C62" s="30"/>
      <c r="D62" s="16"/>
      <c r="E62" s="37"/>
      <c r="F62" s="37">
        <f ca="1">SUMIFS(Data_Booking!$D:$D,Data_Booking!$B:$B,$B62,Data_Booking!$A:$A,"&gt;="&amp;DATE(YEAR(TODAY()),1,1),Data_Booking!$A:$A,"&lt;="&amp;TODAY())</f>
        <v>0</v>
      </c>
      <c r="G62" s="44">
        <f t="shared" ca="1" si="1"/>
        <v>0</v>
      </c>
      <c r="H62" s="40">
        <f ca="1">SUMIFS(Data_Booking!$D:$D,Data_Booking!$B:$B,$B62,Data_Booking!$A:$A,"&gt;="&amp;EOMONTH(TODAY(),-1)+1,Data_Booking!$A:$A,"&lt;="&amp;EOMONTH(TODAY(),0))</f>
        <v>0</v>
      </c>
    </row>
    <row r="63" spans="1:8" x14ac:dyDescent="0.35">
      <c r="A63" s="19"/>
      <c r="B63" s="16"/>
      <c r="C63" s="30"/>
      <c r="D63" s="16"/>
      <c r="E63" s="37"/>
      <c r="F63" s="37">
        <f ca="1">SUMIFS(Data_Booking!$D:$D,Data_Booking!$B:$B,$B63,Data_Booking!$A:$A,"&gt;="&amp;DATE(YEAR(TODAY()),1,1),Data_Booking!$A:$A,"&lt;="&amp;TODAY())</f>
        <v>0</v>
      </c>
      <c r="G63" s="44">
        <f t="shared" ca="1" si="1"/>
        <v>0</v>
      </c>
      <c r="H63" s="40">
        <f ca="1">SUMIFS(Data_Booking!$D:$D,Data_Booking!$B:$B,$B63,Data_Booking!$A:$A,"&gt;="&amp;EOMONTH(TODAY(),-1)+1,Data_Booking!$A:$A,"&lt;="&amp;EOMONTH(TODAY(),0))</f>
        <v>0</v>
      </c>
    </row>
    <row r="64" spans="1:8" x14ac:dyDescent="0.35">
      <c r="A64" s="19"/>
      <c r="B64" s="16"/>
      <c r="C64" s="30"/>
      <c r="D64" s="16"/>
      <c r="E64" s="37"/>
      <c r="F64" s="37">
        <f ca="1">SUMIFS(Data_Booking!$D:$D,Data_Booking!$B:$B,$B64,Data_Booking!$A:$A,"&gt;="&amp;DATE(YEAR(TODAY()),1,1),Data_Booking!$A:$A,"&lt;="&amp;TODAY())</f>
        <v>0</v>
      </c>
      <c r="G64" s="44">
        <f t="shared" ca="1" si="1"/>
        <v>0</v>
      </c>
      <c r="H64" s="40">
        <f ca="1">SUMIFS(Data_Booking!$D:$D,Data_Booking!$B:$B,$B64,Data_Booking!$A:$A,"&gt;="&amp;EOMONTH(TODAY(),-1)+1,Data_Booking!$A:$A,"&lt;="&amp;EOMONTH(TODAY(),0))</f>
        <v>0</v>
      </c>
    </row>
    <row r="65" spans="1:8" x14ac:dyDescent="0.35">
      <c r="A65" s="19"/>
      <c r="B65" s="16"/>
      <c r="C65" s="30"/>
      <c r="D65" s="16"/>
      <c r="E65" s="37"/>
      <c r="F65" s="37">
        <f ca="1">SUMIFS(Data_Booking!$D:$D,Data_Booking!$B:$B,$B65,Data_Booking!$A:$A,"&gt;="&amp;DATE(YEAR(TODAY()),1,1),Data_Booking!$A:$A,"&lt;="&amp;TODAY())</f>
        <v>0</v>
      </c>
      <c r="G65" s="44">
        <f t="shared" ca="1" si="1"/>
        <v>0</v>
      </c>
      <c r="H65" s="40">
        <f ca="1">SUMIFS(Data_Booking!$D:$D,Data_Booking!$B:$B,$B65,Data_Booking!$A:$A,"&gt;="&amp;EOMONTH(TODAY(),-1)+1,Data_Booking!$A:$A,"&lt;="&amp;EOMONTH(TODAY(),0))</f>
        <v>0</v>
      </c>
    </row>
    <row r="66" spans="1:8" x14ac:dyDescent="0.35">
      <c r="A66" s="19"/>
      <c r="B66" s="16"/>
      <c r="C66" s="30"/>
      <c r="D66" s="16"/>
      <c r="E66" s="37"/>
      <c r="F66" s="37">
        <f ca="1">SUMIFS(Data_Booking!$D:$D,Data_Booking!$B:$B,$B66,Data_Booking!$A:$A,"&gt;="&amp;DATE(YEAR(TODAY()),1,1),Data_Booking!$A:$A,"&lt;="&amp;TODAY())</f>
        <v>0</v>
      </c>
      <c r="G66" s="44">
        <f t="shared" ref="G66:G97" ca="1" si="2">IFERROR(F66/E66,0)</f>
        <v>0</v>
      </c>
      <c r="H66" s="40">
        <f ca="1">SUMIFS(Data_Booking!$D:$D,Data_Booking!$B:$B,$B66,Data_Booking!$A:$A,"&gt;="&amp;EOMONTH(TODAY(),-1)+1,Data_Booking!$A:$A,"&lt;="&amp;EOMONTH(TODAY(),0))</f>
        <v>0</v>
      </c>
    </row>
    <row r="67" spans="1:8" x14ac:dyDescent="0.35">
      <c r="A67" s="19"/>
      <c r="B67" s="16"/>
      <c r="C67" s="30"/>
      <c r="D67" s="16"/>
      <c r="E67" s="37"/>
      <c r="F67" s="37">
        <f ca="1">SUMIFS(Data_Booking!$D:$D,Data_Booking!$B:$B,$B67,Data_Booking!$A:$A,"&gt;="&amp;DATE(YEAR(TODAY()),1,1),Data_Booking!$A:$A,"&lt;="&amp;TODAY())</f>
        <v>0</v>
      </c>
      <c r="G67" s="44">
        <f t="shared" ca="1" si="2"/>
        <v>0</v>
      </c>
      <c r="H67" s="40">
        <f ca="1">SUMIFS(Data_Booking!$D:$D,Data_Booking!$B:$B,$B67,Data_Booking!$A:$A,"&gt;="&amp;EOMONTH(TODAY(),-1)+1,Data_Booking!$A:$A,"&lt;="&amp;EOMONTH(TODAY(),0))</f>
        <v>0</v>
      </c>
    </row>
    <row r="68" spans="1:8" x14ac:dyDescent="0.35">
      <c r="A68" s="19"/>
      <c r="B68" s="16"/>
      <c r="C68" s="30"/>
      <c r="D68" s="16"/>
      <c r="E68" s="37"/>
      <c r="F68" s="37">
        <f ca="1">SUMIFS(Data_Booking!$D:$D,Data_Booking!$B:$B,$B68,Data_Booking!$A:$A,"&gt;="&amp;DATE(YEAR(TODAY()),1,1),Data_Booking!$A:$A,"&lt;="&amp;TODAY())</f>
        <v>0</v>
      </c>
      <c r="G68" s="44">
        <f t="shared" ca="1" si="2"/>
        <v>0</v>
      </c>
      <c r="H68" s="40">
        <f ca="1">SUMIFS(Data_Booking!$D:$D,Data_Booking!$B:$B,$B68,Data_Booking!$A:$A,"&gt;="&amp;EOMONTH(TODAY(),-1)+1,Data_Booking!$A:$A,"&lt;="&amp;EOMONTH(TODAY(),0))</f>
        <v>0</v>
      </c>
    </row>
    <row r="69" spans="1:8" x14ac:dyDescent="0.35">
      <c r="A69" s="19"/>
      <c r="B69" s="16"/>
      <c r="C69" s="30"/>
      <c r="D69" s="16"/>
      <c r="E69" s="37"/>
      <c r="F69" s="37">
        <f ca="1">SUMIFS(Data_Booking!$D:$D,Data_Booking!$B:$B,$B69,Data_Booking!$A:$A,"&gt;="&amp;DATE(YEAR(TODAY()),1,1),Data_Booking!$A:$A,"&lt;="&amp;TODAY())</f>
        <v>0</v>
      </c>
      <c r="G69" s="44">
        <f t="shared" ca="1" si="2"/>
        <v>0</v>
      </c>
      <c r="H69" s="40">
        <f ca="1">SUMIFS(Data_Booking!$D:$D,Data_Booking!$B:$B,$B69,Data_Booking!$A:$A,"&gt;="&amp;EOMONTH(TODAY(),-1)+1,Data_Booking!$A:$A,"&lt;="&amp;EOMONTH(TODAY(),0))</f>
        <v>0</v>
      </c>
    </row>
    <row r="70" spans="1:8" x14ac:dyDescent="0.35">
      <c r="A70" s="19"/>
      <c r="B70" s="16"/>
      <c r="C70" s="30"/>
      <c r="D70" s="16"/>
      <c r="E70" s="37"/>
      <c r="F70" s="37">
        <f ca="1">SUMIFS(Data_Booking!$D:$D,Data_Booking!$B:$B,$B70,Data_Booking!$A:$A,"&gt;="&amp;DATE(YEAR(TODAY()),1,1),Data_Booking!$A:$A,"&lt;="&amp;TODAY())</f>
        <v>0</v>
      </c>
      <c r="G70" s="44">
        <f t="shared" ca="1" si="2"/>
        <v>0</v>
      </c>
      <c r="H70" s="40">
        <f ca="1">SUMIFS(Data_Booking!$D:$D,Data_Booking!$B:$B,$B70,Data_Booking!$A:$A,"&gt;="&amp;EOMONTH(TODAY(),-1)+1,Data_Booking!$A:$A,"&lt;="&amp;EOMONTH(TODAY(),0))</f>
        <v>0</v>
      </c>
    </row>
    <row r="71" spans="1:8" x14ac:dyDescent="0.35">
      <c r="A71" s="19"/>
      <c r="B71" s="16"/>
      <c r="C71" s="30"/>
      <c r="D71" s="16"/>
      <c r="E71" s="37"/>
      <c r="F71" s="37">
        <f ca="1">SUMIFS(Data_Booking!$D:$D,Data_Booking!$B:$B,$B71,Data_Booking!$A:$A,"&gt;="&amp;DATE(YEAR(TODAY()),1,1),Data_Booking!$A:$A,"&lt;="&amp;TODAY())</f>
        <v>0</v>
      </c>
      <c r="G71" s="44">
        <f t="shared" ca="1" si="2"/>
        <v>0</v>
      </c>
      <c r="H71" s="40">
        <f ca="1">SUMIFS(Data_Booking!$D:$D,Data_Booking!$B:$B,$B71,Data_Booking!$A:$A,"&gt;="&amp;EOMONTH(TODAY(),-1)+1,Data_Booking!$A:$A,"&lt;="&amp;EOMONTH(TODAY(),0))</f>
        <v>0</v>
      </c>
    </row>
    <row r="72" spans="1:8" x14ac:dyDescent="0.35">
      <c r="A72" s="19"/>
      <c r="B72" s="16"/>
      <c r="C72" s="30"/>
      <c r="D72" s="16"/>
      <c r="E72" s="37"/>
      <c r="F72" s="37">
        <f ca="1">SUMIFS(Data_Booking!$D:$D,Data_Booking!$B:$B,$B72,Data_Booking!$A:$A,"&gt;="&amp;DATE(YEAR(TODAY()),1,1),Data_Booking!$A:$A,"&lt;="&amp;TODAY())</f>
        <v>0</v>
      </c>
      <c r="G72" s="44">
        <f t="shared" ca="1" si="2"/>
        <v>0</v>
      </c>
      <c r="H72" s="40">
        <f ca="1">SUMIFS(Data_Booking!$D:$D,Data_Booking!$B:$B,$B72,Data_Booking!$A:$A,"&gt;="&amp;EOMONTH(TODAY(),-1)+1,Data_Booking!$A:$A,"&lt;="&amp;EOMONTH(TODAY(),0))</f>
        <v>0</v>
      </c>
    </row>
    <row r="73" spans="1:8" x14ac:dyDescent="0.35">
      <c r="A73" s="19"/>
      <c r="B73" s="16"/>
      <c r="C73" s="30"/>
      <c r="D73" s="16"/>
      <c r="E73" s="37"/>
      <c r="F73" s="37">
        <f ca="1">SUMIFS(Data_Booking!$D:$D,Data_Booking!$B:$B,$B73,Data_Booking!$A:$A,"&gt;="&amp;DATE(YEAR(TODAY()),1,1),Data_Booking!$A:$A,"&lt;="&amp;TODAY())</f>
        <v>0</v>
      </c>
      <c r="G73" s="44">
        <f t="shared" ca="1" si="2"/>
        <v>0</v>
      </c>
      <c r="H73" s="40">
        <f ca="1">SUMIFS(Data_Booking!$D:$D,Data_Booking!$B:$B,$B73,Data_Booking!$A:$A,"&gt;="&amp;EOMONTH(TODAY(),-1)+1,Data_Booking!$A:$A,"&lt;="&amp;EOMONTH(TODAY(),0))</f>
        <v>0</v>
      </c>
    </row>
    <row r="74" spans="1:8" x14ac:dyDescent="0.35">
      <c r="A74" s="19"/>
      <c r="B74" s="16"/>
      <c r="C74" s="30"/>
      <c r="D74" s="16"/>
      <c r="E74" s="37"/>
      <c r="F74" s="37">
        <f ca="1">SUMIFS(Data_Booking!$D:$D,Data_Booking!$B:$B,$B74,Data_Booking!$A:$A,"&gt;="&amp;DATE(YEAR(TODAY()),1,1),Data_Booking!$A:$A,"&lt;="&amp;TODAY())</f>
        <v>0</v>
      </c>
      <c r="G74" s="44">
        <f t="shared" ca="1" si="2"/>
        <v>0</v>
      </c>
      <c r="H74" s="40">
        <f ca="1">SUMIFS(Data_Booking!$D:$D,Data_Booking!$B:$B,$B74,Data_Booking!$A:$A,"&gt;="&amp;EOMONTH(TODAY(),-1)+1,Data_Booking!$A:$A,"&lt;="&amp;EOMONTH(TODAY(),0))</f>
        <v>0</v>
      </c>
    </row>
    <row r="75" spans="1:8" x14ac:dyDescent="0.35">
      <c r="A75" s="19"/>
      <c r="B75" s="16"/>
      <c r="C75" s="30"/>
      <c r="D75" s="16"/>
      <c r="E75" s="37"/>
      <c r="F75" s="37">
        <f ca="1">SUMIFS(Data_Booking!$D:$D,Data_Booking!$B:$B,$B75,Data_Booking!$A:$A,"&gt;="&amp;DATE(YEAR(TODAY()),1,1),Data_Booking!$A:$A,"&lt;="&amp;TODAY())</f>
        <v>0</v>
      </c>
      <c r="G75" s="44">
        <f t="shared" ca="1" si="2"/>
        <v>0</v>
      </c>
      <c r="H75" s="40">
        <f ca="1">SUMIFS(Data_Booking!$D:$D,Data_Booking!$B:$B,$B75,Data_Booking!$A:$A,"&gt;="&amp;EOMONTH(TODAY(),-1)+1,Data_Booking!$A:$A,"&lt;="&amp;EOMONTH(TODAY(),0))</f>
        <v>0</v>
      </c>
    </row>
    <row r="76" spans="1:8" x14ac:dyDescent="0.35">
      <c r="A76" s="19"/>
      <c r="B76" s="16"/>
      <c r="C76" s="30"/>
      <c r="D76" s="16"/>
      <c r="E76" s="37"/>
      <c r="F76" s="37">
        <f ca="1">SUMIFS(Data_Booking!$D:$D,Data_Booking!$B:$B,$B76,Data_Booking!$A:$A,"&gt;="&amp;DATE(YEAR(TODAY()),1,1),Data_Booking!$A:$A,"&lt;="&amp;TODAY())</f>
        <v>0</v>
      </c>
      <c r="G76" s="44">
        <f t="shared" ca="1" si="2"/>
        <v>0</v>
      </c>
      <c r="H76" s="40">
        <f ca="1">SUMIFS(Data_Booking!$D:$D,Data_Booking!$B:$B,$B76,Data_Booking!$A:$A,"&gt;="&amp;EOMONTH(TODAY(),-1)+1,Data_Booking!$A:$A,"&lt;="&amp;EOMONTH(TODAY(),0))</f>
        <v>0</v>
      </c>
    </row>
    <row r="77" spans="1:8" x14ac:dyDescent="0.35">
      <c r="A77" s="19"/>
      <c r="B77" s="16"/>
      <c r="C77" s="30"/>
      <c r="D77" s="16"/>
      <c r="E77" s="37"/>
      <c r="F77" s="37">
        <f ca="1">SUMIFS(Data_Booking!$D:$D,Data_Booking!$B:$B,$B77,Data_Booking!$A:$A,"&gt;="&amp;DATE(YEAR(TODAY()),1,1),Data_Booking!$A:$A,"&lt;="&amp;TODAY())</f>
        <v>0</v>
      </c>
      <c r="G77" s="44">
        <f t="shared" ca="1" si="2"/>
        <v>0</v>
      </c>
      <c r="H77" s="40">
        <f ca="1">SUMIFS(Data_Booking!$D:$D,Data_Booking!$B:$B,$B77,Data_Booking!$A:$A,"&gt;="&amp;EOMONTH(TODAY(),-1)+1,Data_Booking!$A:$A,"&lt;="&amp;EOMONTH(TODAY(),0))</f>
        <v>0</v>
      </c>
    </row>
    <row r="78" spans="1:8" x14ac:dyDescent="0.35">
      <c r="A78" s="19"/>
      <c r="B78" s="16"/>
      <c r="C78" s="30"/>
      <c r="D78" s="16"/>
      <c r="E78" s="37"/>
      <c r="F78" s="37">
        <f ca="1">SUMIFS(Data_Booking!$D:$D,Data_Booking!$B:$B,$B78,Data_Booking!$A:$A,"&gt;="&amp;DATE(YEAR(TODAY()),1,1),Data_Booking!$A:$A,"&lt;="&amp;TODAY())</f>
        <v>0</v>
      </c>
      <c r="G78" s="44">
        <f t="shared" ca="1" si="2"/>
        <v>0</v>
      </c>
      <c r="H78" s="40">
        <f ca="1">SUMIFS(Data_Booking!$D:$D,Data_Booking!$B:$B,$B78,Data_Booking!$A:$A,"&gt;="&amp;EOMONTH(TODAY(),-1)+1,Data_Booking!$A:$A,"&lt;="&amp;EOMONTH(TODAY(),0))</f>
        <v>0</v>
      </c>
    </row>
    <row r="79" spans="1:8" x14ac:dyDescent="0.35">
      <c r="A79" s="19"/>
      <c r="B79" s="16"/>
      <c r="C79" s="30"/>
      <c r="D79" s="16"/>
      <c r="E79" s="37"/>
      <c r="F79" s="37">
        <f ca="1">SUMIFS(Data_Booking!$D:$D,Data_Booking!$B:$B,$B79,Data_Booking!$A:$A,"&gt;="&amp;DATE(YEAR(TODAY()),1,1),Data_Booking!$A:$A,"&lt;="&amp;TODAY())</f>
        <v>0</v>
      </c>
      <c r="G79" s="44">
        <f t="shared" ca="1" si="2"/>
        <v>0</v>
      </c>
      <c r="H79" s="40">
        <f ca="1">SUMIFS(Data_Booking!$D:$D,Data_Booking!$B:$B,$B79,Data_Booking!$A:$A,"&gt;="&amp;EOMONTH(TODAY(),-1)+1,Data_Booking!$A:$A,"&lt;="&amp;EOMONTH(TODAY(),0))</f>
        <v>0</v>
      </c>
    </row>
    <row r="80" spans="1:8" x14ac:dyDescent="0.35">
      <c r="A80" s="19"/>
      <c r="B80" s="16"/>
      <c r="C80" s="30"/>
      <c r="D80" s="16"/>
      <c r="E80" s="37"/>
      <c r="F80" s="37">
        <f ca="1">SUMIFS(Data_Booking!$D:$D,Data_Booking!$B:$B,$B80,Data_Booking!$A:$A,"&gt;="&amp;DATE(YEAR(TODAY()),1,1),Data_Booking!$A:$A,"&lt;="&amp;TODAY())</f>
        <v>0</v>
      </c>
      <c r="G80" s="44">
        <f t="shared" ca="1" si="2"/>
        <v>0</v>
      </c>
      <c r="H80" s="40">
        <f ca="1">SUMIFS(Data_Booking!$D:$D,Data_Booking!$B:$B,$B80,Data_Booking!$A:$A,"&gt;="&amp;EOMONTH(TODAY(),-1)+1,Data_Booking!$A:$A,"&lt;="&amp;EOMONTH(TODAY(),0))</f>
        <v>0</v>
      </c>
    </row>
    <row r="81" spans="1:8" x14ac:dyDescent="0.35">
      <c r="A81" s="19"/>
      <c r="B81" s="16"/>
      <c r="C81" s="30"/>
      <c r="D81" s="16"/>
      <c r="E81" s="37"/>
      <c r="F81" s="37">
        <f ca="1">SUMIFS(Data_Booking!$D:$D,Data_Booking!$B:$B,$B81,Data_Booking!$A:$A,"&gt;="&amp;DATE(YEAR(TODAY()),1,1),Data_Booking!$A:$A,"&lt;="&amp;TODAY())</f>
        <v>0</v>
      </c>
      <c r="G81" s="44">
        <f t="shared" ca="1" si="2"/>
        <v>0</v>
      </c>
      <c r="H81" s="40">
        <f ca="1">SUMIFS(Data_Booking!$D:$D,Data_Booking!$B:$B,$B81,Data_Booking!$A:$A,"&gt;="&amp;EOMONTH(TODAY(),-1)+1,Data_Booking!$A:$A,"&lt;="&amp;EOMONTH(TODAY(),0))</f>
        <v>0</v>
      </c>
    </row>
    <row r="82" spans="1:8" x14ac:dyDescent="0.35">
      <c r="A82" s="19"/>
      <c r="B82" s="16"/>
      <c r="C82" s="30"/>
      <c r="D82" s="16"/>
      <c r="E82" s="37"/>
      <c r="F82" s="37">
        <f ca="1">SUMIFS(Data_Booking!$D:$D,Data_Booking!$B:$B,$B82,Data_Booking!$A:$A,"&gt;="&amp;DATE(YEAR(TODAY()),1,1),Data_Booking!$A:$A,"&lt;="&amp;TODAY())</f>
        <v>0</v>
      </c>
      <c r="G82" s="44">
        <f t="shared" ca="1" si="2"/>
        <v>0</v>
      </c>
      <c r="H82" s="40">
        <f ca="1">SUMIFS(Data_Booking!$D:$D,Data_Booking!$B:$B,$B82,Data_Booking!$A:$A,"&gt;="&amp;EOMONTH(TODAY(),-1)+1,Data_Booking!$A:$A,"&lt;="&amp;EOMONTH(TODAY(),0))</f>
        <v>0</v>
      </c>
    </row>
    <row r="83" spans="1:8" x14ac:dyDescent="0.35">
      <c r="A83" s="19"/>
      <c r="B83" s="16"/>
      <c r="C83" s="30"/>
      <c r="D83" s="16"/>
      <c r="E83" s="37"/>
      <c r="F83" s="37">
        <f ca="1">SUMIFS(Data_Booking!$D:$D,Data_Booking!$B:$B,$B83,Data_Booking!$A:$A,"&gt;="&amp;DATE(YEAR(TODAY()),1,1),Data_Booking!$A:$A,"&lt;="&amp;TODAY())</f>
        <v>0</v>
      </c>
      <c r="G83" s="44">
        <f t="shared" ca="1" si="2"/>
        <v>0</v>
      </c>
      <c r="H83" s="40">
        <f ca="1">SUMIFS(Data_Booking!$D:$D,Data_Booking!$B:$B,$B83,Data_Booking!$A:$A,"&gt;="&amp;EOMONTH(TODAY(),-1)+1,Data_Booking!$A:$A,"&lt;="&amp;EOMONTH(TODAY(),0))</f>
        <v>0</v>
      </c>
    </row>
    <row r="84" spans="1:8" x14ac:dyDescent="0.35">
      <c r="A84" s="19"/>
      <c r="B84" s="16"/>
      <c r="C84" s="30"/>
      <c r="D84" s="16"/>
      <c r="E84" s="37"/>
      <c r="F84" s="37">
        <f ca="1">SUMIFS(Data_Booking!$D:$D,Data_Booking!$B:$B,$B84,Data_Booking!$A:$A,"&gt;="&amp;DATE(YEAR(TODAY()),1,1),Data_Booking!$A:$A,"&lt;="&amp;TODAY())</f>
        <v>0</v>
      </c>
      <c r="G84" s="44">
        <f t="shared" ca="1" si="2"/>
        <v>0</v>
      </c>
      <c r="H84" s="40">
        <f ca="1">SUMIFS(Data_Booking!$D:$D,Data_Booking!$B:$B,$B84,Data_Booking!$A:$A,"&gt;="&amp;EOMONTH(TODAY(),-1)+1,Data_Booking!$A:$A,"&lt;="&amp;EOMONTH(TODAY(),0))</f>
        <v>0</v>
      </c>
    </row>
    <row r="85" spans="1:8" x14ac:dyDescent="0.35">
      <c r="A85" s="19"/>
      <c r="B85" s="16"/>
      <c r="C85" s="30"/>
      <c r="D85" s="16"/>
      <c r="E85" s="37"/>
      <c r="F85" s="37">
        <f ca="1">SUMIFS(Data_Booking!$D:$D,Data_Booking!$B:$B,$B85,Data_Booking!$A:$A,"&gt;="&amp;DATE(YEAR(TODAY()),1,1),Data_Booking!$A:$A,"&lt;="&amp;TODAY())</f>
        <v>0</v>
      </c>
      <c r="G85" s="44">
        <f t="shared" ca="1" si="2"/>
        <v>0</v>
      </c>
      <c r="H85" s="40">
        <f ca="1">SUMIFS(Data_Booking!$D:$D,Data_Booking!$B:$B,$B85,Data_Booking!$A:$A,"&gt;="&amp;EOMONTH(TODAY(),-1)+1,Data_Booking!$A:$A,"&lt;="&amp;EOMONTH(TODAY(),0))</f>
        <v>0</v>
      </c>
    </row>
    <row r="86" spans="1:8" x14ac:dyDescent="0.35">
      <c r="A86" s="19"/>
      <c r="B86" s="16"/>
      <c r="C86" s="30"/>
      <c r="D86" s="16"/>
      <c r="E86" s="37"/>
      <c r="F86" s="37">
        <f ca="1">SUMIFS(Data_Booking!$D:$D,Data_Booking!$B:$B,$B86,Data_Booking!$A:$A,"&gt;="&amp;DATE(YEAR(TODAY()),1,1),Data_Booking!$A:$A,"&lt;="&amp;TODAY())</f>
        <v>0</v>
      </c>
      <c r="G86" s="44">
        <f t="shared" ca="1" si="2"/>
        <v>0</v>
      </c>
      <c r="H86" s="40">
        <f ca="1">SUMIFS(Data_Booking!$D:$D,Data_Booking!$B:$B,$B86,Data_Booking!$A:$A,"&gt;="&amp;EOMONTH(TODAY(),-1)+1,Data_Booking!$A:$A,"&lt;="&amp;EOMONTH(TODAY(),0))</f>
        <v>0</v>
      </c>
    </row>
    <row r="87" spans="1:8" x14ac:dyDescent="0.35">
      <c r="A87" s="19"/>
      <c r="B87" s="16"/>
      <c r="C87" s="30"/>
      <c r="D87" s="16"/>
      <c r="E87" s="37"/>
      <c r="F87" s="37">
        <f ca="1">SUMIFS(Data_Booking!$D:$D,Data_Booking!$B:$B,$B87,Data_Booking!$A:$A,"&gt;="&amp;DATE(YEAR(TODAY()),1,1),Data_Booking!$A:$A,"&lt;="&amp;TODAY())</f>
        <v>0</v>
      </c>
      <c r="G87" s="44">
        <f t="shared" ca="1" si="2"/>
        <v>0</v>
      </c>
      <c r="H87" s="40">
        <f ca="1">SUMIFS(Data_Booking!$D:$D,Data_Booking!$B:$B,$B87,Data_Booking!$A:$A,"&gt;="&amp;EOMONTH(TODAY(),-1)+1,Data_Booking!$A:$A,"&lt;="&amp;EOMONTH(TODAY(),0))</f>
        <v>0</v>
      </c>
    </row>
    <row r="88" spans="1:8" x14ac:dyDescent="0.35">
      <c r="A88" s="19"/>
      <c r="B88" s="16"/>
      <c r="C88" s="30"/>
      <c r="D88" s="16"/>
      <c r="E88" s="37"/>
      <c r="F88" s="37">
        <f ca="1">SUMIFS(Data_Booking!$D:$D,Data_Booking!$B:$B,$B88,Data_Booking!$A:$A,"&gt;="&amp;DATE(YEAR(TODAY()),1,1),Data_Booking!$A:$A,"&lt;="&amp;TODAY())</f>
        <v>0</v>
      </c>
      <c r="G88" s="44">
        <f t="shared" ca="1" si="2"/>
        <v>0</v>
      </c>
      <c r="H88" s="40">
        <f ca="1">SUMIFS(Data_Booking!$D:$D,Data_Booking!$B:$B,$B88,Data_Booking!$A:$A,"&gt;="&amp;EOMONTH(TODAY(),-1)+1,Data_Booking!$A:$A,"&lt;="&amp;EOMONTH(TODAY(),0))</f>
        <v>0</v>
      </c>
    </row>
    <row r="89" spans="1:8" x14ac:dyDescent="0.35">
      <c r="A89" s="19"/>
      <c r="B89" s="16"/>
      <c r="C89" s="30"/>
      <c r="D89" s="16"/>
      <c r="E89" s="37"/>
      <c r="F89" s="37">
        <f ca="1">SUMIFS(Data_Booking!$D:$D,Data_Booking!$B:$B,$B89,Data_Booking!$A:$A,"&gt;="&amp;DATE(YEAR(TODAY()),1,1),Data_Booking!$A:$A,"&lt;="&amp;TODAY())</f>
        <v>0</v>
      </c>
      <c r="G89" s="44">
        <f t="shared" ca="1" si="2"/>
        <v>0</v>
      </c>
      <c r="H89" s="40">
        <f ca="1">SUMIFS(Data_Booking!$D:$D,Data_Booking!$B:$B,$B89,Data_Booking!$A:$A,"&gt;="&amp;EOMONTH(TODAY(),-1)+1,Data_Booking!$A:$A,"&lt;="&amp;EOMONTH(TODAY(),0))</f>
        <v>0</v>
      </c>
    </row>
    <row r="90" spans="1:8" x14ac:dyDescent="0.35">
      <c r="A90" s="19"/>
      <c r="B90" s="16"/>
      <c r="C90" s="30"/>
      <c r="D90" s="16"/>
      <c r="E90" s="37"/>
      <c r="F90" s="37">
        <f ca="1">SUMIFS(Data_Booking!$D:$D,Data_Booking!$B:$B,$B90,Data_Booking!$A:$A,"&gt;="&amp;DATE(YEAR(TODAY()),1,1),Data_Booking!$A:$A,"&lt;="&amp;TODAY())</f>
        <v>0</v>
      </c>
      <c r="G90" s="44">
        <f t="shared" ca="1" si="2"/>
        <v>0</v>
      </c>
      <c r="H90" s="40">
        <f ca="1">SUMIFS(Data_Booking!$D:$D,Data_Booking!$B:$B,$B90,Data_Booking!$A:$A,"&gt;="&amp;EOMONTH(TODAY(),-1)+1,Data_Booking!$A:$A,"&lt;="&amp;EOMONTH(TODAY(),0))</f>
        <v>0</v>
      </c>
    </row>
    <row r="91" spans="1:8" x14ac:dyDescent="0.35">
      <c r="A91" s="19"/>
      <c r="B91" s="16"/>
      <c r="C91" s="30"/>
      <c r="D91" s="16"/>
      <c r="E91" s="37"/>
      <c r="F91" s="37">
        <f ca="1">SUMIFS(Data_Booking!$D:$D,Data_Booking!$B:$B,$B91,Data_Booking!$A:$A,"&gt;="&amp;DATE(YEAR(TODAY()),1,1),Data_Booking!$A:$A,"&lt;="&amp;TODAY())</f>
        <v>0</v>
      </c>
      <c r="G91" s="44">
        <f t="shared" ca="1" si="2"/>
        <v>0</v>
      </c>
      <c r="H91" s="40">
        <f ca="1">SUMIFS(Data_Booking!$D:$D,Data_Booking!$B:$B,$B91,Data_Booking!$A:$A,"&gt;="&amp;EOMONTH(TODAY(),-1)+1,Data_Booking!$A:$A,"&lt;="&amp;EOMONTH(TODAY(),0))</f>
        <v>0</v>
      </c>
    </row>
    <row r="92" spans="1:8" x14ac:dyDescent="0.35">
      <c r="A92" s="19"/>
      <c r="B92" s="16"/>
      <c r="C92" s="30"/>
      <c r="D92" s="16"/>
      <c r="E92" s="37"/>
      <c r="F92" s="37">
        <f ca="1">SUMIFS(Data_Booking!$D:$D,Data_Booking!$B:$B,$B92,Data_Booking!$A:$A,"&gt;="&amp;DATE(YEAR(TODAY()),1,1),Data_Booking!$A:$A,"&lt;="&amp;TODAY())</f>
        <v>0</v>
      </c>
      <c r="G92" s="44">
        <f t="shared" ca="1" si="2"/>
        <v>0</v>
      </c>
      <c r="H92" s="40">
        <f ca="1">SUMIFS(Data_Booking!$D:$D,Data_Booking!$B:$B,$B92,Data_Booking!$A:$A,"&gt;="&amp;EOMONTH(TODAY(),-1)+1,Data_Booking!$A:$A,"&lt;="&amp;EOMONTH(TODAY(),0))</f>
        <v>0</v>
      </c>
    </row>
    <row r="93" spans="1:8" x14ac:dyDescent="0.35">
      <c r="A93" s="19"/>
      <c r="B93" s="16"/>
      <c r="C93" s="30"/>
      <c r="D93" s="16"/>
      <c r="E93" s="37"/>
      <c r="F93" s="37">
        <f ca="1">SUMIFS(Data_Booking!$D:$D,Data_Booking!$B:$B,$B93,Data_Booking!$A:$A,"&gt;="&amp;DATE(YEAR(TODAY()),1,1),Data_Booking!$A:$A,"&lt;="&amp;TODAY())</f>
        <v>0</v>
      </c>
      <c r="G93" s="44">
        <f t="shared" ca="1" si="2"/>
        <v>0</v>
      </c>
      <c r="H93" s="40">
        <f ca="1">SUMIFS(Data_Booking!$D:$D,Data_Booking!$B:$B,$B93,Data_Booking!$A:$A,"&gt;="&amp;EOMONTH(TODAY(),-1)+1,Data_Booking!$A:$A,"&lt;="&amp;EOMONTH(TODAY(),0))</f>
        <v>0</v>
      </c>
    </row>
    <row r="94" spans="1:8" x14ac:dyDescent="0.35">
      <c r="A94" s="19"/>
      <c r="B94" s="16"/>
      <c r="C94" s="30"/>
      <c r="D94" s="16"/>
      <c r="E94" s="37"/>
      <c r="F94" s="37">
        <f ca="1">SUMIFS(Data_Booking!$D:$D,Data_Booking!$B:$B,$B94,Data_Booking!$A:$A,"&gt;="&amp;DATE(YEAR(TODAY()),1,1),Data_Booking!$A:$A,"&lt;="&amp;TODAY())</f>
        <v>0</v>
      </c>
      <c r="G94" s="44">
        <f t="shared" ca="1" si="2"/>
        <v>0</v>
      </c>
      <c r="H94" s="40">
        <f ca="1">SUMIFS(Data_Booking!$D:$D,Data_Booking!$B:$B,$B94,Data_Booking!$A:$A,"&gt;="&amp;EOMONTH(TODAY(),-1)+1,Data_Booking!$A:$A,"&lt;="&amp;EOMONTH(TODAY(),0))</f>
        <v>0</v>
      </c>
    </row>
    <row r="95" spans="1:8" x14ac:dyDescent="0.35">
      <c r="A95" s="19"/>
      <c r="B95" s="16"/>
      <c r="C95" s="30"/>
      <c r="D95" s="16"/>
      <c r="E95" s="37"/>
      <c r="F95" s="37">
        <f ca="1">SUMIFS(Data_Booking!$D:$D,Data_Booking!$B:$B,$B95,Data_Booking!$A:$A,"&gt;="&amp;DATE(YEAR(TODAY()),1,1),Data_Booking!$A:$A,"&lt;="&amp;TODAY())</f>
        <v>0</v>
      </c>
      <c r="G95" s="44">
        <f t="shared" ca="1" si="2"/>
        <v>0</v>
      </c>
      <c r="H95" s="40">
        <f ca="1">SUMIFS(Data_Booking!$D:$D,Data_Booking!$B:$B,$B95,Data_Booking!$A:$A,"&gt;="&amp;EOMONTH(TODAY(),-1)+1,Data_Booking!$A:$A,"&lt;="&amp;EOMONTH(TODAY(),0))</f>
        <v>0</v>
      </c>
    </row>
    <row r="96" spans="1:8" x14ac:dyDescent="0.35">
      <c r="A96" s="19"/>
      <c r="B96" s="16"/>
      <c r="C96" s="30"/>
      <c r="D96" s="16"/>
      <c r="E96" s="37"/>
      <c r="F96" s="37">
        <f ca="1">SUMIFS(Data_Booking!$D:$D,Data_Booking!$B:$B,$B96,Data_Booking!$A:$A,"&gt;="&amp;DATE(YEAR(TODAY()),1,1),Data_Booking!$A:$A,"&lt;="&amp;TODAY())</f>
        <v>0</v>
      </c>
      <c r="G96" s="44">
        <f t="shared" ca="1" si="2"/>
        <v>0</v>
      </c>
      <c r="H96" s="40">
        <f ca="1">SUMIFS(Data_Booking!$D:$D,Data_Booking!$B:$B,$B96,Data_Booking!$A:$A,"&gt;="&amp;EOMONTH(TODAY(),-1)+1,Data_Booking!$A:$A,"&lt;="&amp;EOMONTH(TODAY(),0))</f>
        <v>0</v>
      </c>
    </row>
    <row r="97" spans="1:8" x14ac:dyDescent="0.35">
      <c r="A97" s="19"/>
      <c r="B97" s="16"/>
      <c r="C97" s="30"/>
      <c r="D97" s="16"/>
      <c r="E97" s="37"/>
      <c r="F97" s="37">
        <f ca="1">SUMIFS(Data_Booking!$D:$D,Data_Booking!$B:$B,$B97,Data_Booking!$A:$A,"&gt;="&amp;DATE(YEAR(TODAY()),1,1),Data_Booking!$A:$A,"&lt;="&amp;TODAY())</f>
        <v>0</v>
      </c>
      <c r="G97" s="44">
        <f t="shared" ca="1" si="2"/>
        <v>0</v>
      </c>
      <c r="H97" s="40">
        <f ca="1">SUMIFS(Data_Booking!$D:$D,Data_Booking!$B:$B,$B97,Data_Booking!$A:$A,"&gt;="&amp;EOMONTH(TODAY(),-1)+1,Data_Booking!$A:$A,"&lt;="&amp;EOMONTH(TODAY(),0))</f>
        <v>0</v>
      </c>
    </row>
    <row r="98" spans="1:8" x14ac:dyDescent="0.35">
      <c r="A98" s="19"/>
      <c r="B98" s="16"/>
      <c r="C98" s="30"/>
      <c r="D98" s="16"/>
      <c r="E98" s="37"/>
      <c r="F98" s="37">
        <f ca="1">SUMIFS(Data_Booking!$D:$D,Data_Booking!$B:$B,$B98,Data_Booking!$A:$A,"&gt;="&amp;DATE(YEAR(TODAY()),1,1),Data_Booking!$A:$A,"&lt;="&amp;TODAY())</f>
        <v>0</v>
      </c>
      <c r="G98" s="44">
        <f t="shared" ref="G98:G129" ca="1" si="3">IFERROR(F98/E98,0)</f>
        <v>0</v>
      </c>
      <c r="H98" s="40">
        <f ca="1">SUMIFS(Data_Booking!$D:$D,Data_Booking!$B:$B,$B98,Data_Booking!$A:$A,"&gt;="&amp;EOMONTH(TODAY(),-1)+1,Data_Booking!$A:$A,"&lt;="&amp;EOMONTH(TODAY(),0))</f>
        <v>0</v>
      </c>
    </row>
    <row r="99" spans="1:8" x14ac:dyDescent="0.35">
      <c r="A99" s="19"/>
      <c r="B99" s="16"/>
      <c r="C99" s="30"/>
      <c r="D99" s="16"/>
      <c r="E99" s="37"/>
      <c r="F99" s="37">
        <f ca="1">SUMIFS(Data_Booking!$D:$D,Data_Booking!$B:$B,$B99,Data_Booking!$A:$A,"&gt;="&amp;DATE(YEAR(TODAY()),1,1),Data_Booking!$A:$A,"&lt;="&amp;TODAY())</f>
        <v>0</v>
      </c>
      <c r="G99" s="44">
        <f t="shared" ca="1" si="3"/>
        <v>0</v>
      </c>
      <c r="H99" s="40">
        <f ca="1">SUMIFS(Data_Booking!$D:$D,Data_Booking!$B:$B,$B99,Data_Booking!$A:$A,"&gt;="&amp;EOMONTH(TODAY(),-1)+1,Data_Booking!$A:$A,"&lt;="&amp;EOMONTH(TODAY(),0))</f>
        <v>0</v>
      </c>
    </row>
    <row r="100" spans="1:8" x14ac:dyDescent="0.35">
      <c r="A100" s="20"/>
      <c r="B100" s="21"/>
      <c r="C100" s="31"/>
      <c r="D100" s="21"/>
      <c r="E100" s="38"/>
      <c r="F100" s="38">
        <f ca="1">SUMIFS(Data_Booking!$D:$D,Data_Booking!$B:$B,$B100,Data_Booking!$A:$A,"&gt;="&amp;DATE(YEAR(TODAY()),1,1),Data_Booking!$A:$A,"&lt;="&amp;TODAY())</f>
        <v>0</v>
      </c>
      <c r="G100" s="46">
        <f t="shared" ca="1" si="3"/>
        <v>0</v>
      </c>
      <c r="H100" s="42">
        <f ca="1">SUMIFS(Data_Booking!$D:$D,Data_Booking!$B:$B,$B100,Data_Booking!$A:$A,"&gt;="&amp;EOMONTH(TODAY(),-1)+1,Data_Booking!$A:$A,"&lt;="&amp;EOMONTH(TODAY(),0))</f>
        <v>0</v>
      </c>
    </row>
  </sheetData>
  <conditionalFormatting sqref="G2:G10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type="list" sqref="E2:E208" xr:uid="{00000000-0002-0000-0200-000000000000}">
      <formula1>"Yes,No"</formula1>
    </dataValidation>
    <dataValidation type="list" sqref="D2:D100" xr:uid="{00000000-0002-0000-0200-000001000000}">
      <formula1>"Active,Onboarding,Pending,Inactive"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ColWidth="15.1796875" defaultRowHeight="14.5" x14ac:dyDescent="0.35"/>
  <cols>
    <col min="1" max="1" width="11" style="2" customWidth="1"/>
    <col min="2" max="2" width="20" style="2" customWidth="1"/>
    <col min="3" max="3" width="42" style="2" customWidth="1"/>
    <col min="4" max="4" width="34" style="2" customWidth="1"/>
    <col min="5" max="5" width="42" style="2" customWidth="1"/>
  </cols>
  <sheetData>
    <row r="1" spans="1:5" ht="22.4" customHeight="1" x14ac:dyDescent="0.35">
      <c r="A1" s="10" t="s">
        <v>32</v>
      </c>
      <c r="B1" s="10" t="s">
        <v>33</v>
      </c>
      <c r="C1" s="10" t="s">
        <v>34</v>
      </c>
      <c r="D1" s="10" t="s">
        <v>35</v>
      </c>
      <c r="E1" s="10" t="s">
        <v>36</v>
      </c>
    </row>
    <row r="2" spans="1:5" ht="23.4" customHeight="1" x14ac:dyDescent="0.35">
      <c r="A2" s="4" t="s">
        <v>37</v>
      </c>
      <c r="B2" s="5" t="s">
        <v>38</v>
      </c>
      <c r="C2" s="6" t="s">
        <v>39</v>
      </c>
      <c r="D2" s="6" t="s">
        <v>40</v>
      </c>
      <c r="E2" s="6" t="s">
        <v>41</v>
      </c>
    </row>
    <row r="3" spans="1:5" ht="23.4" customHeight="1" x14ac:dyDescent="0.35">
      <c r="A3" s="4" t="s">
        <v>42</v>
      </c>
      <c r="B3" s="5" t="s">
        <v>43</v>
      </c>
      <c r="C3" s="6" t="s">
        <v>44</v>
      </c>
      <c r="D3" s="6" t="s">
        <v>45</v>
      </c>
      <c r="E3" s="6" t="s">
        <v>46</v>
      </c>
    </row>
    <row r="4" spans="1:5" ht="23.4" customHeight="1" x14ac:dyDescent="0.35">
      <c r="A4" s="4" t="s">
        <v>47</v>
      </c>
      <c r="B4" s="5" t="s">
        <v>48</v>
      </c>
      <c r="C4" s="6" t="s">
        <v>49</v>
      </c>
      <c r="D4" s="6" t="s">
        <v>50</v>
      </c>
      <c r="E4" s="6" t="s">
        <v>51</v>
      </c>
    </row>
    <row r="5" spans="1:5" ht="15.65" customHeight="1" x14ac:dyDescent="0.35">
      <c r="A5" s="1"/>
      <c r="B5" s="1"/>
      <c r="C5" s="3"/>
      <c r="D5" s="7"/>
      <c r="E5" s="1"/>
    </row>
    <row r="6" spans="1:5" ht="15.65" customHeight="1" x14ac:dyDescent="0.35">
      <c r="A6" s="1"/>
      <c r="B6" s="1"/>
      <c r="C6" s="1"/>
      <c r="E6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selection activeCell="B14" sqref="B14"/>
    </sheetView>
  </sheetViews>
  <sheetFormatPr defaultRowHeight="14.5" x14ac:dyDescent="0.35"/>
  <cols>
    <col min="1" max="1" width="15" customWidth="1"/>
    <col min="2" max="2" width="18" customWidth="1"/>
    <col min="3" max="3" width="72.81640625" customWidth="1"/>
    <col min="4" max="4" width="12" customWidth="1"/>
    <col min="5" max="5" width="18" customWidth="1"/>
    <col min="6" max="6" width="12" customWidth="1"/>
  </cols>
  <sheetData>
    <row r="1" spans="1:6" x14ac:dyDescent="0.35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 t="s">
        <v>5</v>
      </c>
    </row>
    <row r="2" spans="1:6" x14ac:dyDescent="0.35">
      <c r="A2" s="47" t="s">
        <v>57</v>
      </c>
      <c r="B2" s="47" t="s">
        <v>58</v>
      </c>
      <c r="C2" s="48" t="s">
        <v>59</v>
      </c>
      <c r="D2" s="47" t="s">
        <v>60</v>
      </c>
      <c r="E2" s="47" t="s">
        <v>11</v>
      </c>
      <c r="F2" s="47" t="s">
        <v>24</v>
      </c>
    </row>
    <row r="3" spans="1:6" x14ac:dyDescent="0.35">
      <c r="A3" s="47" t="s">
        <v>61</v>
      </c>
      <c r="B3" s="47" t="s">
        <v>62</v>
      </c>
      <c r="C3" s="47" t="s">
        <v>63</v>
      </c>
      <c r="D3" s="47" t="s">
        <v>60</v>
      </c>
      <c r="E3" s="47" t="s">
        <v>11</v>
      </c>
      <c r="F3" s="47" t="s">
        <v>24</v>
      </c>
    </row>
    <row r="4" spans="1:6" x14ac:dyDescent="0.35">
      <c r="A4" s="47" t="s">
        <v>64</v>
      </c>
      <c r="B4" s="48" t="s">
        <v>65</v>
      </c>
      <c r="C4" s="48" t="s">
        <v>66</v>
      </c>
      <c r="D4" s="48" t="s">
        <v>67</v>
      </c>
      <c r="E4" s="48" t="s">
        <v>11</v>
      </c>
      <c r="F4" s="47" t="s">
        <v>24</v>
      </c>
    </row>
    <row r="5" spans="1:6" x14ac:dyDescent="0.35">
      <c r="A5" s="47"/>
      <c r="B5" s="47"/>
      <c r="C5" s="47"/>
      <c r="D5" s="47"/>
      <c r="E5" s="47"/>
      <c r="F5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Data_Booking</vt:lpstr>
      <vt:lpstr>Data_SI</vt:lpstr>
      <vt:lpstr>Data_CustomerActive</vt:lpstr>
      <vt:lpstr>Data_Issue</vt:lpstr>
      <vt:lpstr>Customer_Feedback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BICH NGOC</dc:creator>
  <cp:lastModifiedBy>nguyenbich.ngoc(YLVN)</cp:lastModifiedBy>
  <dcterms:created xsi:type="dcterms:W3CDTF">2026-07-28T09:21:14Z</dcterms:created>
  <dcterms:modified xsi:type="dcterms:W3CDTF">2026-07-28T09:21:14Z</dcterms:modified>
</cp:coreProperties>
</file>