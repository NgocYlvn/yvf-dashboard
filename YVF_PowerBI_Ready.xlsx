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YVF_Dashboard\YVF_Dashboard_Final\"/>
    </mc:Choice>
  </mc:AlternateContent>
  <xr:revisionPtr revIDLastSave="0" documentId="13_ncr:1_{15987175-D270-4C2F-90F5-82C3AEE7F9E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_Booking" sheetId="1" r:id="rId1"/>
    <sheet name="Data_SI" sheetId="2" r:id="rId2"/>
    <sheet name="Data_Issue" sheetId="3" r:id="rId3"/>
    <sheet name="Customer_Feedback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H2" i="2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<sst xmlns="http://schemas.openxmlformats.org/spreadsheetml/2006/main" count="100" uniqueCount="55">
  <si>
    <t>Booking Date</t>
  </si>
  <si>
    <t>Customer</t>
  </si>
  <si>
    <t>Mode</t>
  </si>
  <si>
    <t>Booking Qty</t>
  </si>
  <si>
    <t>Processing Time (Min)</t>
  </si>
  <si>
    <t>Status</t>
  </si>
  <si>
    <t>System Issue</t>
  </si>
  <si>
    <t>Week</t>
  </si>
  <si>
    <t>Month</t>
  </si>
  <si>
    <t>PIC</t>
  </si>
  <si>
    <t>Remark</t>
  </si>
  <si>
    <t>SDVN</t>
  </si>
  <si>
    <t>Sea</t>
  </si>
  <si>
    <t>Normal</t>
  </si>
  <si>
    <t>No</t>
  </si>
  <si>
    <t>Ngọc</t>
  </si>
  <si>
    <t>Hệ thống phản hồi chậm</t>
  </si>
  <si>
    <t>Air</t>
  </si>
  <si>
    <t>Slow</t>
  </si>
  <si>
    <t>Yes</t>
  </si>
  <si>
    <t>NGSDVN</t>
  </si>
  <si>
    <t>SI Qty</t>
  </si>
  <si>
    <t>Issue ID</t>
  </si>
  <si>
    <t>Module</t>
  </si>
  <si>
    <t>Issue</t>
  </si>
  <si>
    <t>Impact</t>
  </si>
  <si>
    <t>Suggestion</t>
  </si>
  <si>
    <t>IS001</t>
  </si>
  <si>
    <t>Booking Tracking</t>
  </si>
  <si>
    <t>Chỉ có thể tra cứu bằng YVF Booking No., chưa hỗ trợ Carrier Booking No.</t>
  </si>
  <si>
    <t>Tăng thời gian thao tác khi tra cứu lô hàng</t>
  </si>
  <si>
    <t>Cho phép tra cứu bằng cả Carrier Booking No. và YVF Booking No.</t>
  </si>
  <si>
    <t>IS002</t>
  </si>
  <si>
    <t>Submit SI</t>
  </si>
  <si>
    <t>Tại màn hình Submit SI, trường Total Volume hiện đang yêu cầu nhập Gross Weight (GRW).</t>
  </si>
  <si>
    <t>Tăng nguy cơ nhập sai dữ liệu</t>
  </si>
  <si>
    <t>IS003</t>
  </si>
  <si>
    <t>VGM</t>
  </si>
  <si>
    <t>VGM vẫn phải submit thủ công qua email cho OFF PIC.</t>
  </si>
  <si>
    <t>Tăng thao tác thủ công và rủi ro bỏ sót</t>
  </si>
  <si>
    <t>Bổ sung chức năng Submit VGM trực tiếp trên YVF.</t>
  </si>
  <si>
    <t>Feedback ID</t>
  </si>
  <si>
    <t>Category</t>
  </si>
  <si>
    <t>Feedback</t>
  </si>
  <si>
    <t>Type</t>
  </si>
  <si>
    <t>Source</t>
  </si>
  <si>
    <t>FB001</t>
  </si>
  <si>
    <t>Booking</t>
  </si>
  <si>
    <t>Thao tác tạo booking nhanh, thuận tiện và dễ sử dụng.</t>
  </si>
  <si>
    <t>Positive</t>
  </si>
  <si>
    <t>Active</t>
  </si>
  <si>
    <t>FB002</t>
  </si>
  <si>
    <t>Usability</t>
  </si>
  <si>
    <t>Giao diện đơn giản, người dùng dễ làm quen.</t>
  </si>
  <si>
    <t>Đổi tên trường chính xác Volume (CBM)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</si>
</sst>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"/>
    <numFmt numFmtId="165" formatCode="0.0"/>
  </numFmts>
  <fonts count="4" x14ac:knownFonts="1">
    <font>
      <sz val="11"/>
      <color theme="1"/>
      <name val="Calibri"/>
    </font>
    <font>
      <sz val="10"/>
      <name val="Arial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47C20"/>
      </patternFill>
    </fill>
    <fill>
      <patternFill patternType="solid">
        <fgColor rgb="FFF47C20"/>
        <bgColor rgb="FFF47C2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"/>
    <xf numFmtId="0" fontId="1" fillId="0" borderId="2"/>
  </cellStyleXfs>
  <cellXfs count="12">
    <xf numFmtId="0" fontId="0" fillId="0" borderId="0" xfId="0" applyBorder="1"/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1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 wrapText="1"/>
    </xf>
  </cellXfs>
  <cellStyles count="2">
    <cellStyle name="Normal" xfId="0" builtinId="0"/>
    <cellStyle name="Normal 2 2 2 3" xfId="1" xr:uid="{00000000-0005-0000-0000-000001000000}"/>
  </cellStyles>
  <dxfs count="3">
    <dxf>
      <font>
        <color rgb="FFC62828"/>
      </font>
      <fill>
        <patternFill patternType="solid">
          <bgColor rgb="FFFEE2E2"/>
        </patternFill>
      </fill>
    </dxf>
    <dxf>
      <font>
        <color rgb="FFF59E0B"/>
      </font>
      <fill>
        <patternFill patternType="solid">
          <bgColor rgb="FFFEF3C7"/>
        </patternFill>
      </fill>
    </dxf>
    <dxf>
      <font>
        <color rgb="FF2E7D32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ooking" displayName="tblBooking" ref="A1:K7">
  <tableColumns count="11">
    <tableColumn id="1" xr3:uid="{00000000-0010-0000-0000-000001000000}" name="Booking Date"/>
    <tableColumn id="2" xr3:uid="{00000000-0010-0000-0000-000002000000}" name="Customer"/>
    <tableColumn id="3" xr3:uid="{00000000-0010-0000-0000-000003000000}" name="Mode"/>
    <tableColumn id="4" xr3:uid="{00000000-0010-0000-0000-000004000000}" name="Booking Qty"/>
    <tableColumn id="5" xr3:uid="{00000000-0010-0000-0000-000005000000}" name="Processing Time (Min)"/>
    <tableColumn id="6" xr3:uid="{00000000-0010-0000-0000-000006000000}" name="Status"/>
    <tableColumn id="7" xr3:uid="{00000000-0010-0000-0000-000007000000}" name="System Issue"/>
    <tableColumn id="8" xr3:uid="{00000000-0010-0000-0000-000008000000}" name="Week"/>
    <tableColumn id="9" xr3:uid="{00000000-0010-0000-0000-000009000000}" name="Month"/>
    <tableColumn id="10" xr3:uid="{00000000-0010-0000-0000-00000A000000}" name="PIC"/>
    <tableColumn id="11" xr3:uid="{00000000-0010-0000-0000-00000B000000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I" displayName="tblSI" ref="A1:K2">
  <tableColumns count="11">
    <tableColumn id="1" xr3:uid="{00000000-0010-0000-0100-000001000000}" name="Booking Date"/>
    <tableColumn id="2" xr3:uid="{00000000-0010-0000-0100-000002000000}" name="Customer"/>
    <tableColumn id="3" xr3:uid="{00000000-0010-0000-0100-000003000000}" name="Mode"/>
    <tableColumn id="4" xr3:uid="{00000000-0010-0000-0100-000004000000}" name="SI Qty"/>
    <tableColumn id="5" xr3:uid="{00000000-0010-0000-0100-000005000000}" name="Processing Time (Min)"/>
    <tableColumn id="6" xr3:uid="{00000000-0010-0000-0100-000006000000}" name="Status"/>
    <tableColumn id="7" xr3:uid="{00000000-0010-0000-0100-000007000000}" name="System Issue"/>
    <tableColumn id="8" xr3:uid="{00000000-0010-0000-0100-000008000000}" name="Week"/>
    <tableColumn id="9" xr3:uid="{00000000-0010-0000-0100-000009000000}" name="Month"/>
    <tableColumn id="10" xr3:uid="{00000000-0010-0000-0100-00000A000000}" name="PIC"/>
    <tableColumn id="11" xr3:uid="{00000000-0010-0000-0100-00000B000000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Issue" displayName="tblIssue" ref="A1:E4">
  <tableColumns count="5">
    <tableColumn id="1" xr3:uid="{00000000-0010-0000-0200-000001000000}" name="Issue ID"/>
    <tableColumn id="2" xr3:uid="{00000000-0010-0000-0200-000002000000}" name="Module"/>
    <tableColumn id="3" xr3:uid="{00000000-0010-0000-0200-000003000000}" name="Issue"/>
    <tableColumn id="4" xr3:uid="{00000000-0010-0000-0200-000004000000}" name="Impact"/>
    <tableColumn id="5" xr3:uid="{00000000-0010-0000-0200-000005000000}" name="Sugges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D10" sqref="D10"/>
    </sheetView>
  </sheetViews>
  <sheetFormatPr defaultColWidth="15.1796875" defaultRowHeight="14.5" x14ac:dyDescent="0.35"/>
  <cols>
    <col min="1" max="1" width="12" style="2" customWidth="1"/>
    <col min="2" max="2" width="14" style="2" customWidth="1"/>
    <col min="3" max="3" width="10" style="2" customWidth="1"/>
    <col min="4" max="4" width="13" style="2" customWidth="1"/>
    <col min="5" max="5" width="18" style="2" customWidth="1"/>
    <col min="6" max="6" width="12" style="2" customWidth="1"/>
    <col min="7" max="7" width="14" customWidth="1"/>
    <col min="8" max="8" width="9" customWidth="1"/>
    <col min="9" max="10" width="12" customWidth="1"/>
    <col min="11" max="11" width="32" style="2" customWidth="1"/>
    <col min="12" max="12" width="15.1796875" style="2" customWidth="1"/>
    <col min="13" max="16384" width="15.1796875" style="2"/>
  </cols>
  <sheetData>
    <row r="1" spans="1:11" ht="33.5" customHeigh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ht="23.5" customHeight="1" x14ac:dyDescent="0.35">
      <c r="A2" s="8">
        <v>46225</v>
      </c>
      <c r="B2" s="5" t="s">
        <v>11</v>
      </c>
      <c r="C2" s="5" t="s">
        <v>12</v>
      </c>
      <c r="D2" s="9">
        <v>3</v>
      </c>
      <c r="E2" s="9">
        <v>3</v>
      </c>
      <c r="F2" s="5" t="s">
        <v>13</v>
      </c>
      <c r="G2" s="5" t="s">
        <v>14</v>
      </c>
      <c r="H2" s="5">
        <f t="shared" ref="H2:H7" si="0">WEEKNUM(A2,2)</f>
        <v>30</v>
      </c>
      <c r="I2" s="5" t="str">
        <f t="shared" ref="I2:I7" si="1">TEXT(A2,"mmm-yyyy")</f>
        <v>Jul-2026</v>
      </c>
      <c r="J2" s="5" t="s">
        <v>15</v>
      </c>
      <c r="K2" s="6"/>
    </row>
    <row r="3" spans="1:11" ht="23.5" customHeight="1" x14ac:dyDescent="0.35">
      <c r="A3" s="8">
        <v>46226</v>
      </c>
      <c r="B3" s="5" t="s">
        <v>11</v>
      </c>
      <c r="C3" s="5" t="s">
        <v>17</v>
      </c>
      <c r="D3" s="9">
        <v>1</v>
      </c>
      <c r="E3" s="9">
        <v>5</v>
      </c>
      <c r="F3" s="5" t="s">
        <v>18</v>
      </c>
      <c r="G3" s="5" t="s">
        <v>19</v>
      </c>
      <c r="H3" s="5">
        <f t="shared" si="0"/>
        <v>30</v>
      </c>
      <c r="I3" s="5" t="str">
        <f t="shared" si="1"/>
        <v>Jul-2026</v>
      </c>
      <c r="J3" s="5" t="s">
        <v>15</v>
      </c>
      <c r="K3" s="6" t="s">
        <v>16</v>
      </c>
    </row>
    <row r="4" spans="1:11" ht="23.5" customHeight="1" x14ac:dyDescent="0.35">
      <c r="A4" s="8">
        <v>46226</v>
      </c>
      <c r="B4" s="5" t="s">
        <v>20</v>
      </c>
      <c r="C4" s="5" t="s">
        <v>17</v>
      </c>
      <c r="D4" s="9">
        <v>3</v>
      </c>
      <c r="E4" s="9">
        <v>5</v>
      </c>
      <c r="F4" s="5" t="s">
        <v>18</v>
      </c>
      <c r="G4" s="5" t="s">
        <v>19</v>
      </c>
      <c r="H4" s="5">
        <f t="shared" si="0"/>
        <v>30</v>
      </c>
      <c r="I4" s="5" t="str">
        <f t="shared" si="1"/>
        <v>Jul-2026</v>
      </c>
      <c r="J4" s="5" t="s">
        <v>15</v>
      </c>
      <c r="K4" s="6" t="s">
        <v>16</v>
      </c>
    </row>
    <row r="5" spans="1:11" ht="23.5" customHeight="1" x14ac:dyDescent="0.35">
      <c r="A5" s="8">
        <v>46227</v>
      </c>
      <c r="B5" s="5" t="s">
        <v>11</v>
      </c>
      <c r="C5" s="5" t="s">
        <v>17</v>
      </c>
      <c r="D5" s="9">
        <v>8</v>
      </c>
      <c r="E5" s="9">
        <v>5</v>
      </c>
      <c r="F5" s="5" t="s">
        <v>18</v>
      </c>
      <c r="G5" s="5" t="s">
        <v>19</v>
      </c>
      <c r="H5" s="5">
        <f t="shared" si="0"/>
        <v>30</v>
      </c>
      <c r="I5" s="5" t="str">
        <f t="shared" si="1"/>
        <v>Jul-2026</v>
      </c>
      <c r="J5" s="5" t="s">
        <v>15</v>
      </c>
      <c r="K5" s="6" t="s">
        <v>16</v>
      </c>
    </row>
    <row r="6" spans="1:11" ht="23" customHeight="1" x14ac:dyDescent="0.35">
      <c r="A6" s="8">
        <v>46227</v>
      </c>
      <c r="B6" s="5" t="s">
        <v>20</v>
      </c>
      <c r="C6" s="5" t="s">
        <v>17</v>
      </c>
      <c r="D6" s="9">
        <v>2</v>
      </c>
      <c r="E6" s="9">
        <v>5</v>
      </c>
      <c r="F6" s="5" t="s">
        <v>18</v>
      </c>
      <c r="G6" s="5" t="s">
        <v>19</v>
      </c>
      <c r="H6" s="5">
        <f t="shared" si="0"/>
        <v>30</v>
      </c>
      <c r="I6" s="5" t="str">
        <f t="shared" si="1"/>
        <v>Jul-2026</v>
      </c>
      <c r="J6" s="5" t="s">
        <v>15</v>
      </c>
      <c r="K6" s="6" t="s">
        <v>16</v>
      </c>
    </row>
    <row r="7" spans="1:11" ht="23" customHeight="1" x14ac:dyDescent="0.35">
      <c r="A7" s="8">
        <v>46230</v>
      </c>
      <c r="B7" s="5" t="s">
        <v>11</v>
      </c>
      <c r="C7" s="5" t="s">
        <v>17</v>
      </c>
      <c r="D7" s="9">
        <v>3</v>
      </c>
      <c r="E7" s="9">
        <v>6.5</v>
      </c>
      <c r="F7" s="5" t="s">
        <v>18</v>
      </c>
      <c r="G7" s="5" t="s">
        <v>19</v>
      </c>
      <c r="H7" s="5">
        <f t="shared" si="0"/>
        <v>31</v>
      </c>
      <c r="I7" s="5" t="str">
        <f t="shared" si="1"/>
        <v>Jul-2026</v>
      </c>
      <c r="J7" s="5" t="s">
        <v>15</v>
      </c>
      <c r="K7" s="6" t="s">
        <v>16</v>
      </c>
    </row>
    <row r="8" spans="1:11" ht="23.5" customHeight="1" x14ac:dyDescent="0.35">
      <c r="A8" s="1"/>
      <c r="B8" s="1"/>
      <c r="C8" s="1"/>
      <c r="D8" s="1"/>
      <c r="E8" s="1"/>
      <c r="F8" s="1"/>
      <c r="G8" s="3"/>
      <c r="H8" s="3"/>
      <c r="I8" s="3"/>
      <c r="J8" s="3"/>
      <c r="K8" s="3"/>
    </row>
    <row r="9" spans="1:11" ht="23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</sheetData>
  <conditionalFormatting sqref="F2:F200">
    <cfRule type="expression" dxfId="2" priority="1">
      <formula>F2="Normal"</formula>
    </cfRule>
    <cfRule type="expression" dxfId="1" priority="2">
      <formula>F2="Slow"</formula>
    </cfRule>
    <cfRule type="expression" dxfId="0" priority="3">
      <formula>F2="Error"</formula>
    </cfRule>
  </conditionalFormatting>
  <dataValidations count="4">
    <dataValidation type="list" allowBlank="1" showInputMessage="1" showErrorMessage="1" sqref="F2:F15" xr:uid="{00000000-0002-0000-0000-000000000000}">
      <formula1>"Normal,Slow,Error"</formula1>
    </dataValidation>
    <dataValidation type="list" sqref="C2:C200" xr:uid="{00000000-0002-0000-0000-000001000000}">
      <formula1>"Sea,Air"</formula1>
    </dataValidation>
    <dataValidation type="list" sqref="F2:F200" xr:uid="{00000000-0002-0000-0000-000002000000}">
      <formula1>"Normal,Slow,Error"</formula1>
    </dataValidation>
    <dataValidation type="list" sqref="G2:G200" xr:uid="{00000000-0002-0000-0000-000003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J7" sqref="J7"/>
    </sheetView>
  </sheetViews>
  <sheetFormatPr defaultColWidth="15.1796875" defaultRowHeight="14.5" x14ac:dyDescent="0.35"/>
  <cols>
    <col min="1" max="1" width="12" style="2" customWidth="1"/>
    <col min="2" max="2" width="14" style="2" customWidth="1"/>
    <col min="3" max="3" width="10" style="2" customWidth="1"/>
    <col min="4" max="4" width="13" style="2" customWidth="1"/>
    <col min="5" max="5" width="18" style="2" customWidth="1"/>
    <col min="6" max="6" width="12" style="2" customWidth="1"/>
    <col min="7" max="7" width="14" customWidth="1"/>
    <col min="8" max="8" width="9" customWidth="1"/>
    <col min="9" max="10" width="12" customWidth="1"/>
    <col min="11" max="11" width="32" style="2" customWidth="1"/>
    <col min="12" max="12" width="15.1796875" style="2" customWidth="1"/>
    <col min="13" max="16384" width="15.1796875" style="2"/>
  </cols>
  <sheetData>
    <row r="1" spans="1:11" ht="33.5" customHeight="1" x14ac:dyDescent="0.35">
      <c r="A1" s="10" t="s">
        <v>0</v>
      </c>
      <c r="B1" s="10" t="s">
        <v>1</v>
      </c>
      <c r="C1" s="10" t="s">
        <v>2</v>
      </c>
      <c r="D1" s="10" t="s">
        <v>21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ht="23.5" customHeight="1" x14ac:dyDescent="0.35">
      <c r="A2" s="8">
        <v>46230</v>
      </c>
      <c r="B2" s="5" t="s">
        <v>11</v>
      </c>
      <c r="C2" s="5" t="s">
        <v>12</v>
      </c>
      <c r="D2" s="9">
        <v>2</v>
      </c>
      <c r="E2" s="9">
        <v>5</v>
      </c>
      <c r="F2" s="5" t="s">
        <v>13</v>
      </c>
      <c r="G2" s="5" t="s">
        <v>14</v>
      </c>
      <c r="H2" s="5">
        <f>WEEKNUM(A2,2)</f>
        <v>31</v>
      </c>
      <c r="I2" s="5" t="str">
        <f>TEXT(A2,"mmm-yyyy")</f>
        <v>Jul-2026</v>
      </c>
      <c r="J2" s="5" t="s">
        <v>15</v>
      </c>
      <c r="K2" s="6"/>
    </row>
    <row r="3" spans="1:11" ht="23.5" customHeight="1" x14ac:dyDescent="0.35">
      <c r="A3" s="4"/>
      <c r="B3" s="5"/>
      <c r="C3" s="5"/>
      <c r="D3" s="5"/>
      <c r="E3" s="5"/>
      <c r="F3" s="5"/>
      <c r="G3" s="5"/>
      <c r="H3" s="5"/>
      <c r="I3" s="5"/>
      <c r="J3" s="5"/>
      <c r="K3" s="6"/>
    </row>
    <row r="4" spans="1:11" ht="23.5" customHeight="1" x14ac:dyDescent="0.35">
      <c r="A4" s="4"/>
      <c r="B4" s="5"/>
      <c r="C4" s="5"/>
      <c r="D4" s="5"/>
      <c r="E4" s="5"/>
      <c r="F4" s="5"/>
      <c r="G4" s="5"/>
      <c r="H4" s="5"/>
      <c r="I4" s="5"/>
      <c r="J4" s="5"/>
      <c r="K4" s="6"/>
    </row>
    <row r="5" spans="1:11" ht="23.5" customHeight="1" x14ac:dyDescent="0.35">
      <c r="A5" s="4"/>
      <c r="B5" s="5"/>
      <c r="C5" s="5"/>
      <c r="D5" s="5"/>
      <c r="E5" s="5"/>
      <c r="F5" s="5"/>
      <c r="G5" s="5"/>
      <c r="H5" s="5"/>
      <c r="I5" s="5"/>
      <c r="J5" s="5"/>
      <c r="K5" s="6"/>
    </row>
    <row r="6" spans="1:11" ht="23.5" customHeight="1" x14ac:dyDescent="0.35">
      <c r="A6" s="4"/>
      <c r="B6" s="5"/>
      <c r="C6" s="5"/>
      <c r="D6" s="5"/>
      <c r="E6" s="5"/>
      <c r="F6" s="5"/>
      <c r="G6" s="5"/>
      <c r="H6" s="5"/>
      <c r="I6" s="5"/>
      <c r="J6" s="5"/>
      <c r="K6" s="6"/>
    </row>
    <row r="7" spans="1:11" ht="23.5" customHeight="1" x14ac:dyDescent="0.35">
      <c r="A7" s="1"/>
      <c r="B7" s="1"/>
      <c r="C7" s="1"/>
      <c r="D7" s="1"/>
      <c r="E7" s="1"/>
      <c r="F7" s="1"/>
      <c r="G7" s="3"/>
      <c r="H7" s="3"/>
      <c r="I7" s="3"/>
      <c r="J7" s="3"/>
      <c r="K7" s="3"/>
    </row>
    <row r="8" spans="1:11" ht="23.5" customHeight="1" x14ac:dyDescent="0.35">
      <c r="A8" s="1"/>
      <c r="B8" s="1"/>
      <c r="C8" s="1"/>
      <c r="D8" s="1"/>
      <c r="E8" s="1"/>
      <c r="F8" s="1"/>
      <c r="G8" s="3"/>
      <c r="H8" s="3"/>
      <c r="I8" s="3"/>
      <c r="J8" s="3"/>
      <c r="K8" s="3"/>
    </row>
    <row r="9" spans="1:11" ht="23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</sheetData>
  <dataValidations count="4">
    <dataValidation type="list" allowBlank="1" showInputMessage="1" showErrorMessage="1" sqref="F2:F15" xr:uid="{00000000-0002-0000-0100-000000000000}">
      <formula1>"Normal,Slow,Error"</formula1>
    </dataValidation>
    <dataValidation type="list" sqref="C2:C200" xr:uid="{00000000-0002-0000-0100-000001000000}">
      <formula1>"Sea,Air"</formula1>
    </dataValidation>
    <dataValidation type="list" sqref="F2:F200" xr:uid="{00000000-0002-0000-0100-000002000000}">
      <formula1>"Normal,Slow,Error"</formula1>
    </dataValidation>
    <dataValidation type="list" sqref="G2:G200" xr:uid="{00000000-0002-0000-0100-000003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>
      <selection activeCell="C7" sqref="C7"/>
    </sheetView>
  </sheetViews>
  <sheetFormatPr defaultColWidth="15.1796875" defaultRowHeight="14.5" x14ac:dyDescent="0.35"/>
  <cols>
    <col min="1" max="1" width="11" style="2" customWidth="1"/>
    <col min="2" max="2" width="20" style="2" customWidth="1"/>
    <col min="3" max="3" width="42" style="2" customWidth="1"/>
    <col min="4" max="4" width="34" style="2" customWidth="1"/>
    <col min="5" max="5" width="42" style="2" customWidth="1"/>
  </cols>
  <sheetData>
    <row r="1" spans="1:5" ht="33.5" customHeight="1" x14ac:dyDescent="0.35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</row>
    <row r="2" spans="1:5" ht="35" customHeight="1" x14ac:dyDescent="0.35">
      <c r="A2" s="4" t="s">
        <v>27</v>
      </c>
      <c r="B2" s="5" t="s">
        <v>28</v>
      </c>
      <c r="C2" s="6" t="s">
        <v>29</v>
      </c>
      <c r="D2" s="6" t="s">
        <v>30</v>
      </c>
      <c r="E2" s="6" t="s">
        <v>31</v>
      </c>
    </row>
    <row r="3" spans="1:5" ht="35" customHeight="1" x14ac:dyDescent="0.35">
      <c r="A3" s="4" t="s">
        <v>32</v>
      </c>
      <c r="B3" s="5" t="s">
        <v>33</v>
      </c>
      <c r="C3" s="6" t="s">
        <v>34</v>
      </c>
      <c r="D3" s="6" t="s">
        <v>35</v>
      </c>
      <c r="E3" s="6" t="s">
        <v>54</v>
      </c>
    </row>
    <row r="4" spans="1:5" ht="35" customHeight="1" x14ac:dyDescent="0.35">
      <c r="A4" s="4" t="s">
        <v>36</v>
      </c>
      <c r="B4" s="5" t="s">
        <v>37</v>
      </c>
      <c r="C4" s="6" t="s">
        <v>38</v>
      </c>
      <c r="D4" s="6" t="s">
        <v>39</v>
      </c>
      <c r="E4" s="6" t="s">
        <v>40</v>
      </c>
    </row>
    <row r="5" spans="1:5" ht="23.5" customHeight="1" x14ac:dyDescent="0.35">
      <c r="A5" s="4"/>
      <c r="B5" s="5"/>
      <c r="C5" s="6"/>
      <c r="D5" s="6"/>
      <c r="E5" s="6"/>
    </row>
    <row r="6" spans="1:5" ht="23.5" customHeight="1" x14ac:dyDescent="0.35">
      <c r="A6" s="1"/>
      <c r="B6" s="1"/>
      <c r="C6" s="3"/>
      <c r="D6" s="7"/>
      <c r="E6" s="1"/>
    </row>
    <row r="7" spans="1:5" ht="23.5" customHeight="1" x14ac:dyDescent="0.35">
      <c r="A7" s="1"/>
      <c r="B7" s="1"/>
      <c r="C7" s="1"/>
      <c r="E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workbookViewId="0">
      <selection activeCell="C8" sqref="C8"/>
    </sheetView>
  </sheetViews>
  <sheetFormatPr defaultRowHeight="14.5" x14ac:dyDescent="0.35"/>
  <cols>
    <col min="1" max="1" width="15" customWidth="1"/>
    <col min="2" max="2" width="18" customWidth="1"/>
    <col min="3" max="3" width="55" customWidth="1"/>
    <col min="4" max="4" width="12" customWidth="1"/>
    <col min="5" max="5" width="18" customWidth="1"/>
    <col min="6" max="6" width="12" customWidth="1"/>
  </cols>
  <sheetData>
    <row r="1" spans="1:6" x14ac:dyDescent="0.35">
      <c r="A1" s="11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5</v>
      </c>
    </row>
    <row r="2" spans="1:6" x14ac:dyDescent="0.35">
      <c r="A2" t="s">
        <v>46</v>
      </c>
      <c r="B2" t="s">
        <v>47</v>
      </c>
      <c r="C2" t="s">
        <v>48</v>
      </c>
      <c r="D2" t="s">
        <v>49</v>
      </c>
      <c r="E2" t="s">
        <v>11</v>
      </c>
      <c r="F2" t="s">
        <v>50</v>
      </c>
    </row>
    <row r="3" spans="1:6" x14ac:dyDescent="0.35">
      <c r="A3" t="s">
        <v>51</v>
      </c>
      <c r="B3" t="s">
        <v>52</v>
      </c>
      <c r="C3" t="s">
        <v>53</v>
      </c>
      <c r="D3" t="s">
        <v>49</v>
      </c>
      <c r="E3" t="s">
        <v>11</v>
      </c>
      <c r="F3" t="s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Data_Booking</vt:lpstr>
      <vt:lpstr>Data_SI</vt:lpstr>
      <vt:lpstr>Data_Issue</vt:lpstr>
      <vt:lpstr>Customer_Feedback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nguyenbich.ngoc(YLVN)</cp:lastModifiedBy>
  <dcterms:created xsi:type="dcterms:W3CDTF">2026-07-27T11:20:55Z</dcterms:created>
  <dcterms:modified xsi:type="dcterms:W3CDTF">2026-07-27T22:44:01Z</dcterms:modified>
</cp:coreProperties>
</file>