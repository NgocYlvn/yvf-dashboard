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ff54b72c3b43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_Booking" sheetId="1" r:id="R24bf332335954568"/>
    <x:sheet xmlns:r="http://schemas.openxmlformats.org/officeDocument/2006/relationships" name="Data_SI" sheetId="2" r:id="R5d7be23655354f3b"/>
    <x:sheet xmlns:r="http://schemas.openxmlformats.org/officeDocument/2006/relationships" name="Data_CustomerActive" sheetId="3" r:id="Rbe50bb2364c245a7"/>
    <x:sheet xmlns:r="http://schemas.openxmlformats.org/officeDocument/2006/relationships" name="Data_Issue" sheetId="4" r:id="R5eb14815f6be472f"/>
    <x:sheet xmlns:r="http://schemas.openxmlformats.org/officeDocument/2006/relationships" name="Customer_Feedback" sheetId="5" r:id="R2b33bd5fbdec4a4e"/>
    <x:sheet xmlns:r="http://schemas.openxmlformats.org/officeDocument/2006/relationships" name="Overview" sheetId="6" r:id="R8e323f0ae8494c67"/>
    <x:sheet xmlns:r="http://schemas.openxmlformats.org/officeDocument/2006/relationships" name="Customer Adoption" sheetId="7" r:id="R86954dbde6354b8b"/>
    <x:sheet xmlns:r="http://schemas.openxmlformats.org/officeDocument/2006/relationships" name="Booking Details" sheetId="8" r:id="R110a92eb0ae64180"/>
    <x:sheet xmlns:r="http://schemas.openxmlformats.org/officeDocument/2006/relationships" name="User Issues" sheetId="9" r:id="R87fe5b6c152b430d"/>
    <x:sheet xmlns:r="http://schemas.openxmlformats.org/officeDocument/2006/relationships" name="Enhancement Requests" sheetId="10" r:id="R1734d2e83f1541e9"/>
  </x:sheets>
</x:workbook>
</file>

<file path=xl/sharedStrings.xml><?xml version="1.0" encoding="utf-8"?>
<x:sst xmlns:x="http://schemas.openxmlformats.org/spreadsheetml/2006/main">
  <x:si>
    <x:t xml:space="preserve">Booking Date</x:t>
  </x:si>
  <x:si>
    <x:t xml:space="preserve">Customer</x:t>
  </x:si>
  <x:si>
    <x:t xml:space="preserve">Mode</x:t>
  </x:si>
  <x:si>
    <x:t xml:space="preserve">Booking Qty</x:t>
  </x:si>
  <x:si>
    <x:t xml:space="preserve">Processing Time (Min)</x:t>
  </x:si>
  <x:si>
    <x:t xml:space="preserve">Status</x:t>
  </x:si>
  <x:si>
    <x:t xml:space="preserve">System Issue</x:t>
  </x:si>
  <x:si>
    <x:t xml:space="preserve">Week</x:t>
  </x:si>
  <x:si>
    <x:t xml:space="preserve">Month</x:t>
  </x:si>
  <x:si>
    <x:t xml:space="preserve">PIC</x:t>
  </x:si>
  <x:si>
    <x:t xml:space="preserve">Remark</x:t>
  </x:si>
  <x:si>
    <x:t xml:space="preserve">SDVN</x:t>
  </x:si>
  <x:si>
    <x:t xml:space="preserve">Sea</x:t>
  </x:si>
  <x:si>
    <x:t xml:space="preserve">Normal</x:t>
  </x:si>
  <x:si>
    <x:t xml:space="preserve">No</x:t>
  </x:si>
  <x:si>
    <x:t xml:space="preserve">Ngọc</x:t>
  </x:si>
  <x:si>
    <x:t xml:space="preserve">Air</x:t>
  </x:si>
  <x:si>
    <x:t xml:space="preserve">Slow</x:t>
  </x:si>
  <x:si>
    <x:t xml:space="preserve">Yes</x:t>
  </x:si>
  <x:si>
    <x:t xml:space="preserve">Hệ thống phản hồi chậm</x:t>
  </x:si>
  <x:si>
    <x:t xml:space="preserve">NGSDVN</x:t>
  </x:si>
  <x:si>
    <x:t xml:space="preserve">Submit Date</x:t>
  </x:si>
  <x:si>
    <x:t xml:space="preserve">SI Qty</x:t>
  </x:si>
  <x:si>
    <x:t xml:space="preserve">SUMIDENSO VIET NAM.CO.,LTD</x:t>
  </x:si>
  <x:si>
    <x:t xml:space="preserve">Active</x:t>
  </x:si>
  <x:si>
    <x:t xml:space="preserve">NGHIA AN BRANCH - SUMIDENSO VIETNAM CO LTD</x:t>
  </x:si>
  <x:si>
    <x:t xml:space="preserve">IKKA TECHNOLOGY VIETNAM CO.,LTD</x:t>
  </x:si>
  <x:si>
    <x:t xml:space="preserve">IKKA</x:t>
  </x:si>
  <x:si>
    <x:t xml:space="preserve">TAISHODO VIETNAM COMPANY LIMITED</x:t>
  </x:si>
  <x:si>
    <x:t xml:space="preserve">TAISHODO</x:t>
  </x:si>
  <x:si>
    <x:t xml:space="preserve">SUMIDEN VIETNAM AUTOMOTIVE WIRE LTD., CO</x:t>
  </x:si>
  <x:si>
    <x:t xml:space="preserve">SVAW</x:t>
  </x:si>
  <x:si>
    <x:t xml:space="preserve">Issue ID</x:t>
  </x:si>
  <x:si>
    <x:t xml:space="preserve">Module</x:t>
  </x:si>
  <x:si>
    <x:t xml:space="preserve">Issue</x:t>
  </x:si>
  <x:si>
    <x:t xml:space="preserve">Impact</x:t>
  </x:si>
  <x:si>
    <x:t xml:space="preserve">Suggestion</x:t>
  </x:si>
  <x:si>
    <x:t xml:space="preserve">IS001</x:t>
  </x:si>
  <x:si>
    <x:t xml:space="preserve">Booking Tracking</x:t>
  </x:si>
  <x:si>
    <x:t xml:space="preserve">Chỉ có thể tra cứu bằng YVF Booking No., chưa hỗ trợ Carrier Booking No.</x:t>
  </x:si>
  <x:si>
    <x:t xml:space="preserve">Tăng thời gian thao tác khi tra cứu lô hàng</x:t>
  </x:si>
  <x:si>
    <x:t xml:space="preserve">Cho phép tra cứu bằng cả Carrier Booking No. và YVF Booking No.</x:t>
  </x:si>
  <x:si>
    <x:t xml:space="preserve">IS002</x:t>
  </x:si>
  <x:si>
    <x:t xml:space="preserve">Submit SI</x:t>
  </x:si>
  <x:si>
    <x:t xml:space="preserve">Tại màn hình Submit SI, trường Total Volume hiện đang yêu cầu nhập Gross Weight (GRW).</x:t>
  </x:si>
  <x:si>
    <x:t xml:space="preserve">Tăng nguy cơ nhập sai dữ liệu</x:t>
  </x:si>
  <x:si>
    <x:t xml:space="preserve">Đổi tên trường chính xác Volume (CBM)</x:t>
  </x:si>
  <x:si>
    <x:t xml:space="preserve">IS003</x:t>
  </x:si>
  <x:si>
    <x:t xml:space="preserve">VGM</x:t>
  </x:si>
  <x:si>
    <x:t xml:space="preserve">VGM vẫn phải submit thủ công qua email cho OFF PIC.</x:t>
  </x:si>
  <x:si>
    <x:t xml:space="preserve">Tăng thao tác thủ công và rủi ro bỏ sót</x:t>
  </x:si>
  <x:si>
    <x:t xml:space="preserve">Bổ sung chức năng Submit VGM trực tiếp trên YVF.</x:t>
  </x:si>
  <x:si>
    <x:t xml:space="preserve">Feedback ID</x:t>
  </x:si>
  <x:si>
    <x:t xml:space="preserve">Category</x:t>
  </x:si>
  <x:si>
    <x:t xml:space="preserve">Feedback</x:t>
  </x:si>
  <x:si>
    <x:t xml:space="preserve">Type</x:t>
  </x:si>
  <x:si>
    <x:t xml:space="preserve">Source</x:t>
  </x:si>
  <x:si>
    <x:t xml:space="preserve">FB001</x:t>
  </x:si>
  <x:si>
    <x:t xml:space="preserve">Booking</x:t>
  </x:si>
  <x:si>
    <x:t xml:space="preserve">Thao tác tạo Template nhanh, thuận tiện và dễ sử dụng.</x:t>
  </x:si>
  <x:si>
    <x:t xml:space="preserve">Positive</x:t>
  </x:si>
  <x:si>
    <x:t xml:space="preserve">FB002</x:t>
  </x:si>
  <x:si>
    <x:t xml:space="preserve">Usability</x:t>
  </x:si>
  <x:si>
    <x:t xml:space="preserve">Giao diện đơn giản, người dùng dễ làm quen.</x:t>
  </x:si>
  <x:si>
    <x:t xml:space="preserve">FB003</x:t>
  </x:si>
  <x:si>
    <x:t xml:space="preserve">Usability / Performance</x:t>
  </x:si>
  <x:si>
    <x:t xml:space="preserve">Từ ngày 22/7, hiệu năng hệ thống giảm rõ rệt. Thời gian tạo Booking Request kéo dài và hệ thống thường xuyên bị đơ trong quá trình thao tác.</x:t>
  </x:si>
  <x:si>
    <x:t xml:space="preserve">Negative</x:t>
  </x:si>
</x:sst>
</file>

<file path=xl/styles.xml><?xml version="1.0" encoding="utf-8"?>
<x:styleSheet xmlns:x="http://schemas.openxmlformats.org/spreadsheetml/2006/main">
  <x:numFmts count="8">
    <x:numFmt numFmtId="164" formatCode="dd\-mmm"/>
    <x:numFmt numFmtId="165" formatCode="0.0"/>
    <x:numFmt numFmtId="166" formatCode="[$-409]d\-mmm\-yy;@"/>
    <x:numFmt numFmtId="200" formatCode="dd-mmm-yy"/>
    <x:numFmt numFmtId="201" formatCode="0"/>
    <x:numFmt numFmtId="202" formatCode="0.0%"/>
    <x:numFmt numFmtId="203" formatCode="0%"/>
    <x:numFmt numFmtId="204" formatCode="0.0 &quot;min&quot;"/>
  </x:numFmts>
  <x:fonts count="22">
    <x:font>
      <x:sz val="11"/>
      <x:color theme="1"/>
      <x:name val="Calibri"/>
    </x:font>
    <x:font>
      <x:sz val="10"/>
      <x:name val="Arial"/>
    </x:font>
    <x:font>
      <x:b/>
      <x:sz val="11"/>
      <x:color rgb="FFFFFFFF"/>
      <x:name val="Calibri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8"/>
      <x:name val="Calibri"/>
    </x:font>
    <x:font>
      <x:b/>
      <x:sz val="20"/>
      <x:color rgb="FFFFFFFF"/>
      <x:name val="Calibri"/>
    </x:font>
    <x:font>
      <x:i/>
      <x:sz val="10"/>
      <x:color rgb="FF243447"/>
      <x:name val="Calibri"/>
    </x:font>
    <x:font>
      <x:b/>
      <x:sz val="22"/>
      <x:color rgb="FF17365D"/>
      <x:name val="Calibri"/>
    </x:font>
    <x:font>
      <x:b/>
      <x:sz val="10"/>
      <x:color rgb="FF243447"/>
      <x:name val="Calibri"/>
    </x:font>
    <x:font>
      <x:b/>
      <x:sz val="11"/>
      <x:color rgb="FF243447"/>
      <x:name val="Calibri"/>
    </x:font>
    <x:font>
      <x:b/>
      <x:sz val="11"/>
      <x:color rgb="FFC00000"/>
      <x:name val="Calibri"/>
    </x:font>
    <x:font>
      <x:sz val="1"/>
      <x:color rgb="FFFFFFFF"/>
      <x:name val="Calibri"/>
    </x:font>
    <x:font>
      <x:b/>
      <x:sz val="20"/>
      <x:color rgb="FFFFFFFF"/>
      <x:name val="Aptos"/>
    </x:font>
    <x:font>
      <x:i/>
      <x:sz val="10"/>
      <x:color rgb="FF243447"/>
      <x:name val="Aptos"/>
    </x:font>
    <x:font>
      <x:sz val="11"/>
      <x:color theme="1"/>
      <x:name val="Aptos"/>
    </x:font>
    <x:font>
      <x:b/>
      <x:sz val="10"/>
      <x:color rgb="FF243447"/>
      <x:name val="Aptos"/>
    </x:font>
    <x:font>
      <x:b/>
      <x:sz val="22"/>
      <x:color rgb="FF17365D"/>
      <x:name val="Aptos"/>
    </x:font>
    <x:font>
      <x:b/>
      <x:sz val="11"/>
      <x:color rgb="FFFFFFFF"/>
      <x:name val="Aptos"/>
    </x:font>
    <x:font>
      <x:b/>
      <x:sz val="11"/>
      <x:color rgb="FF243447"/>
      <x:name val="Aptos"/>
    </x:font>
    <x:font>
      <x:b/>
      <x:sz val="11"/>
      <x:color rgb="FFC00000"/>
      <x:name val="Aptos"/>
    </x:font>
    <x:font>
      <x:sz val="1"/>
      <x:color rgb="FFFFFFFF"/>
      <x:name val="Aptos"/>
    </x:font>
  </x:fonts>
  <x:fills count="17">
    <x:fill>
      <x:patternFill patternType="none"/>
    </x:fill>
    <x:fill>
      <x:patternFill patternType="gray125"/>
    </x:fill>
    <x:fill>
      <x:patternFill patternType="solid">
        <x:fgColor rgb="FFF47C20"/>
      </x:patternFill>
    </x:fill>
    <x:fill>
      <x:patternFill patternType="solid">
        <x:fgColor rgb="FFF47C20"/>
      </x:patternFill>
    </x:fill>
    <x:fill>
      <x:patternFill patternType="solid">
        <x:fgColor rgb="FFF57C00"/>
      </x:patternFill>
    </x:fill>
    <x:fill>
      <x:patternFill patternType="solid">
        <x:fgColor rgb="FFDDEBF7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4CCCC"/>
      </x:patternFill>
    </x:fill>
    <x:fill>
      <x:patternFill patternType="solid">
        <x:fgColor rgb="FFE4DFEC"/>
      </x:patternFill>
    </x:fill>
    <x:fill>
      <x:patternFill patternType="solid">
        <x:fgColor rgb="FFD9E2F3"/>
      </x:patternFill>
    </x:fill>
    <x:fill>
      <x:patternFill patternType="solid">
        <x:fgColor rgb="FF2F75B5"/>
      </x:patternFill>
    </x:fill>
  </x:fills>
  <x:borders count="4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7F8C8D"/>
      </x:left>
      <x:right style="thin">
        <x:color indexed="64"/>
      </x:right>
      <x:top style="thin">
        <x:color rgb="FF7F8C8D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rgb="FF7F8C8D"/>
      </x:top>
      <x:bottom style="thin">
        <x:color indexed="64"/>
      </x:bottom>
    </x:border>
    <x:border>
      <x:top style="thin">
        <x:color rgb="FF7F8C8D"/>
      </x:top>
    </x:border>
    <x:border>
      <x:right style="thin">
        <x:color rgb="FF7F8C8D"/>
      </x:right>
      <x:top style="thin">
        <x:color rgb="FF7F8C8D"/>
      </x:top>
    </x:border>
    <x:border>
      <x:left style="thin">
        <x:color rgb="FF7F8C8D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rgb="FF7F8C8D"/>
      </x:right>
    </x:border>
    <x:border>
      <x:left style="thin">
        <x:color rgb="FF7F8C8D"/>
      </x:left>
    </x:border>
    <x:border>
      <x:left style="thin">
        <x:color rgb="FF7F8C8D"/>
      </x:left>
      <x:bottom style="thin">
        <x:color rgb="FF7F8C8D"/>
      </x:bottom>
    </x:border>
    <x:border>
      <x:bottom style="thin">
        <x:color rgb="FF7F8C8D"/>
      </x:bottom>
    </x:border>
    <x:border>
      <x:right style="thin">
        <x:color rgb="FF7F8C8D"/>
      </x:right>
      <x:bottom style="thin">
        <x:color rgb="FF7F8C8D"/>
      </x:bottom>
    </x:border>
    <x:border>
      <x:left style="thin">
        <x:color rgb="FF7F8C8D"/>
      </x:left>
      <x:right style="thin">
        <x:color indexed="64"/>
      </x:right>
      <x:top style="thin">
        <x:color rgb="FF7F8C8D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rgb="FF7F8C8D"/>
      </x:top>
      <x:bottom style="thin">
        <x:color indexed="64"/>
      </x:bottom>
    </x:border>
    <x:border>
      <x:top style="thin">
        <x:color rgb="FF7F8C8D"/>
      </x:top>
    </x:border>
    <x:border>
      <x:right style="thin">
        <x:color rgb="FF7F8C8D"/>
      </x:right>
      <x:top style="thin">
        <x:color rgb="FF7F8C8D"/>
      </x:top>
    </x:border>
    <x:border>
      <x:left style="thin">
        <x:color rgb="FF7F8C8D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rgb="FF7F8C8D"/>
      </x:right>
    </x:border>
    <x:border>
      <x:left style="thin">
        <x:color rgb="FF7F8C8D"/>
      </x:left>
    </x:border>
    <x:border>
      <x:left style="thin">
        <x:color rgb="FF7F8C8D"/>
      </x:left>
      <x:bottom style="thin">
        <x:color rgb="FF7F8C8D"/>
      </x:bottom>
    </x:border>
    <x:border>
      <x:bottom style="thin">
        <x:color rgb="FF7F8C8D"/>
      </x:bottom>
    </x:border>
    <x:border>
      <x:right style="thin">
        <x:color rgb="FF7F8C8D"/>
      </x:right>
      <x:bottom style="thin">
        <x:color rgb="FF7F8C8D"/>
      </x:bottom>
    </x:border>
    <x:border>
      <x:bottom style="thin">
        <x:color rgb="FFB4C6E7"/>
      </x:bottom>
    </x:border>
    <x:border>
      <x:left style="thin">
        <x:color rgb="FFC9D2E3"/>
      </x:left>
      <x:top style="thin">
        <x:color rgb="FFC9D2E3"/>
      </x:top>
    </x:border>
    <x:border>
      <x:top style="thin">
        <x:color rgb="FFC9D2E3"/>
      </x:top>
    </x:border>
    <x:border>
      <x:right style="thin">
        <x:color rgb="FFC9D2E3"/>
      </x:right>
      <x:top style="thin">
        <x:color rgb="FFC9D2E3"/>
      </x:top>
    </x:border>
    <x:border>
      <x:left style="thin">
        <x:color rgb="FFC9D2E3"/>
      </x:left>
    </x:border>
    <x:border>
      <x:right style="thin">
        <x:color rgb="FFC9D2E3"/>
      </x:right>
    </x:border>
    <x:border>
      <x:left style="thin">
        <x:color rgb="FFC9D2E3"/>
      </x:left>
      <x:bottom style="thin">
        <x:color rgb="FFC9D2E3"/>
      </x:bottom>
    </x:border>
    <x:border>
      <x:bottom style="thin">
        <x:color rgb="FFC9D2E3"/>
      </x:bottom>
    </x:border>
    <x:border>
      <x:right style="thin">
        <x:color rgb="FFC9D2E3"/>
      </x:right>
      <x:bottom style="thin">
        <x:color rgb="FFC9D2E3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</x:borders>
  <x:cellStyleXfs count="2">
    <x:xf numFmtId="0" fontId="0" fillId="0" borderId="2"/>
    <x:xf numFmtId="0" fontId="1" fillId="0" borderId="2"/>
  </x:cellStyleXfs>
  <x:cellXfs count="701">
    <x:xf numFmtId="0" fontId="0" fillId="0" borderId="0" xfId="0" applyBorder="1"/>
    <x:xf numFmtId="0" fontId="0" fillId="0" borderId="0" xfId="0" applyBorder="1" applyAlignment="1">
      <x:alignment horizontal="center" vertical="center" wrapText="1"/>
    </x:xf>
    <x:xf numFmtId="0" fontId="0" fillId="0" borderId="0" xfId="0" applyBorder="1" applyAlignment="1">
      <x:alignment horizontal="center" vertical="center"/>
    </x:xf>
    <x:xf numFmtId="0" fontId="0" fillId="0" borderId="0" xfId="0" applyBorder="1" applyAlignment="1">
      <x:alignment horizontal="left" vertical="center" wrapText="1"/>
    </x:xf>
    <x:xf numFmtId="16" fontId="0" fillId="0" borderId="1" xfId="0" applyNumberFormat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left" vertical="center" wrapText="1"/>
    </x:xf>
    <x:xf numFmtId="0" fontId="0" fillId="0" borderId="0" xfId="0" applyBorder="1" applyAlignment="1">
      <x:alignment horizontal="left" vertical="center"/>
    </x:xf>
    <x:xf numFmtId="164" fontId="0" fillId="0" borderId="1" xfId="0" applyNumberFormat="1" applyBorder="1" applyAlignment="1">
      <x:alignment horizontal="center" vertical="center" wrapText="1"/>
    </x:xf>
    <x:xf numFmtId="165" fontId="0" fillId="0" borderId="1" xfId="0" applyNumberFormat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3" fillId="3" borderId="0" xfId="0" applyFont="1" applyFill="1" applyBorder="1" applyAlignment="1">
      <x:alignment horizontal="center" vertical="center" wrapText="1"/>
    </x:xf>
    <x:xf numFmtId="0" fontId="4" fillId="0" borderId="0" xfId="0" applyFont="1" applyBorder="1"/>
    <x:xf numFmtId="166" fontId="2" fillId="2" borderId="1" xfId="0" applyNumberFormat="1" applyFont="1" applyFill="1" applyBorder="1" applyAlignment="1">
      <x:alignment horizontal="center" vertical="center" wrapText="1"/>
    </x:xf>
    <x:xf numFmtId="166" fontId="0" fillId="0" borderId="1" xfId="0" applyNumberFormat="1" applyBorder="1" applyAlignment="1">
      <x:alignment horizontal="center" vertical="center" wrapText="1"/>
    </x:xf>
    <x:xf numFmtId="166" fontId="0" fillId="0" borderId="0" xfId="0" applyNumberFormat="1" applyBorder="1" applyAlignment="1">
      <x:alignment horizontal="center" vertical="center" wrapText="1"/>
    </x:xf>
    <x:xf numFmtId="166" fontId="0" fillId="0" borderId="0" xfId="0" applyNumberFormat="1" applyBorder="1" applyAlignment="1">
      <x:alignment horizontal="center" vertical="center"/>
    </x:xf>
    <x:xf numFmtId="0" fontId="4" fillId="0" borderId="1" xfId="0" applyFont="1" applyBorder="1" applyAlignment="1">
      <x:alignment horizontal="center" vertical="center" wrapText="1"/>
    </x:xf>
    <x:xf numFmtId="16" fontId="4" fillId="0" borderId="1" xfId="0" applyNumberFormat="1" applyFont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horizontal="left" vertical="center" wrapText="1"/>
    </x:xf>
    <x:xf numFmtId="16" fontId="0" fillId="0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horizontal="left" vertical="center" wrapText="1"/>
    </x:xf>
    <x:xf numFmtId="0" fontId="0" fillId="0" borderId="3" xfId="0" applyNumberFormat="1" applyFont="1" applyFill="1" applyBorder="1" applyAlignment="1">
      <x:alignment horizontal="left" vertical="center"/>
    </x:xf>
    <x:xf numFmtId="164" fontId="0" fillId="0" borderId="4" xfId="0" applyNumberFormat="1" applyFont="1" applyFill="1" applyBorder="1" applyAlignment="1">
      <x:alignment horizontal="center" vertical="center" wrapText="1"/>
    </x:xf>
    <x:xf numFmtId="165" fontId="0" fillId="0" borderId="4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166" fontId="2" fillId="2" borderId="4" xfId="0" applyNumberFormat="1" applyFont="1" applyFill="1" applyBorder="1" applyAlignment="1">
      <x:alignment horizontal="center" vertical="center" wrapText="1"/>
    </x:xf>
    <x:xf numFmtId="166" fontId="0" fillId="0" borderId="4" xfId="0" applyNumberFormat="1" applyFont="1" applyFill="1" applyBorder="1" applyAlignment="1">
      <x:alignment horizontal="center" vertical="center" wrapText="1"/>
    </x:xf>
    <x:xf numFmtId="166" fontId="0" fillId="0" borderId="3" xfId="0" applyNumberFormat="1" applyFont="1" applyFill="1" applyBorder="1" applyAlignment="1">
      <x:alignment horizontal="center" vertical="center" wrapText="1"/>
    </x:xf>
    <x:xf numFmtId="166" fontId="0" fillId="0" borderId="3" xfId="0" applyNumberFormat="1" applyFont="1" applyFill="1" applyBorder="1" applyAlignment="1">
      <x:alignment horizontal="center" vertical="center"/>
    </x:xf>
    <x:xf numFmtId="0" fontId="2" fillId="4" borderId="1" xfId="0" applyNumberFormat="1" applyFont="1" applyFill="1" applyBorder="1" applyAlignment="1">
      <x:alignment horizontal="center" vertical="center" wrapText="1"/>
    </x:xf>
    <x:xf numFmtId="166" fontId="2" fillId="4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2" fillId="4" borderId="4" xfId="0" applyNumberFormat="1" applyFont="1" applyFill="1" applyBorder="1" applyAlignment="1">
      <x:alignment horizontal="center" vertical="center" wrapText="1"/>
    </x:xf>
    <x:xf numFmtId="166" fontId="2" fillId="4" borderId="4" xfId="0" applyNumberFormat="1" applyFont="1" applyFill="1" applyBorder="1" applyAlignment="1">
      <x:alignment horizontal="center" vertical="center" wrapText="1"/>
    </x:xf>
    <x:xf numFmtId="0" fontId="0" fillId="4" borderId="3" xfId="0" applyNumberFormat="1" applyFont="1" applyFill="1" applyBorder="1"/>
    <x:xf numFmtId="0" fontId="2" fillId="4" borderId="0" xfId="0" applyNumberFormat="1" applyFont="1" applyFill="1" applyBorder="1"/>
    <x:xf numFmtId="0" fontId="2" fillId="4" borderId="3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3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3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16" fontId="0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166" fontId="0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left" vertical="center" wrapText="1"/>
    </x:xf>
    <x:xf numFmtId="0" fontId="0" fillId="0" borderId="3" xfId="0" applyNumberFormat="1" applyFont="1" applyFill="1" applyBorder="1" applyAlignment="1">
      <x:alignment vertical="center"/>
    </x:xf>
    <x:xf numFmtId="16" fontId="0" fillId="0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horizontal="center" vertical="center" wrapText="1"/>
    </x:xf>
    <x:xf numFmtId="166" fontId="0" fillId="0" borderId="6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16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16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166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16" fontId="0" fillId="0" borderId="19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 applyAlignment="1">
      <x:alignment vertical="center"/>
    </x:xf>
    <x:xf numFmtId="0" fontId="0" fillId="0" borderId="24" xfId="0" applyNumberFormat="1" applyFont="1" applyFill="1" applyBorder="1" applyAlignment="1">
      <x:alignment vertical="center"/>
    </x:xf>
    <x:xf numFmtId="16" fontId="0" fillId="5" borderId="5" xfId="0" applyNumberFormat="1" applyFont="1" applyFill="1" applyBorder="1" applyAlignment="1">
      <x:alignment horizontal="center" vertical="center" wrapText="1"/>
    </x:xf>
    <x:xf numFmtId="0" fontId="0" fillId="5" borderId="6" xfId="0" applyNumberFormat="1" applyFont="1" applyFill="1" applyBorder="1" applyAlignment="1">
      <x:alignment horizontal="center" vertical="center" wrapText="1"/>
    </x:xf>
    <x:xf numFmtId="166" fontId="0" fillId="5" borderId="6" xfId="0" applyNumberFormat="1" applyFont="1" applyFill="1" applyBorder="1" applyAlignment="1">
      <x:alignment horizontal="center" vertical="center" wrapText="1"/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16" fontId="0" fillId="5" borderId="15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166" fontId="0" fillId="5" borderId="16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/>
    </x:xf>
    <x:xf numFmtId="0" fontId="0" fillId="5" borderId="18" xfId="0" applyNumberFormat="1" applyFont="1" applyFill="1" applyBorder="1" applyAlignment="1">
      <x:alignment vertical="center"/>
    </x:xf>
    <x:xf numFmtId="16" fontId="0" fillId="5" borderId="9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horizontal="center" vertical="center" wrapText="1"/>
    </x:xf>
    <x:xf numFmtId="166" fontId="0" fillId="5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center"/>
    </x:xf>
    <x:xf numFmtId="0" fontId="0" fillId="5" borderId="10" xfId="0" applyNumberFormat="1" applyFont="1" applyFill="1" applyBorder="1" applyAlignment="1">
      <x:alignment vertical="center"/>
    </x:xf>
    <x:xf numFmtId="16" fontId="0" fillId="5" borderId="19" xfId="0" applyNumberFormat="1" applyFont="1" applyFill="1" applyBorder="1" applyAlignment="1">
      <x:alignment horizontal="center" vertical="center" wrapText="1"/>
    </x:xf>
    <x:xf numFmtId="0" fontId="0" fillId="5" borderId="4" xfId="0" applyNumberFormat="1" applyFont="1" applyFill="1" applyBorder="1" applyAlignment="1">
      <x:alignment horizontal="center" vertical="center" wrapText="1"/>
    </x:xf>
    <x:xf numFmtId="166" fontId="0" fillId="5" borderId="4" xfId="0" applyNumberFormat="1" applyFont="1" applyFill="1" applyBorder="1" applyAlignment="1">
      <x:alignment horizontal="center" vertical="center" wrapText="1"/>
    </x:xf>
    <x:xf numFmtId="0" fontId="0" fillId="5" borderId="3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 applyAlignment="1">
      <x:alignment vertical="center"/>
    </x:xf>
    <x:xf numFmtId="200" fontId="0" fillId="5" borderId="6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200" fontId="0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0" fontId="0" fillId="5" borderId="16" xfId="0" applyNumberFormat="1" applyFont="1" applyFill="1" applyBorder="1" applyAlignment="1">
      <x:alignment horizontal="center" vertical="center" wrapText="1"/>
    </x:xf>
    <x:xf numFmtId="200" fontId="0" fillId="0" borderId="4" xfId="0" applyNumberFormat="1" applyFont="1" applyFill="1" applyBorder="1" applyAlignment="1">
      <x:alignment horizontal="center" vertical="center" wrapText="1"/>
    </x:xf>
    <x:xf numFmtId="200" fontId="0" fillId="5" borderId="4" xfId="0" applyNumberFormat="1" applyFont="1" applyFill="1" applyBorder="1" applyAlignment="1">
      <x:alignment horizontal="center" vertical="center" wrapText="1"/>
    </x:xf>
    <x:xf numFmtId="200" fontId="0" fillId="0" borderId="3" xfId="0" applyNumberFormat="1" applyFont="1" applyFill="1" applyBorder="1" applyAlignment="1">
      <x:alignment horizontal="center" vertical="center" wrapText="1"/>
    </x:xf>
    <x:xf numFmtId="200" fontId="0" fillId="0" borderId="3" xfId="0" applyNumberFormat="1" applyFont="1" applyFill="1" applyBorder="1" applyAlignment="1">
      <x:alignment vertical="center"/>
    </x:xf>
    <x:xf numFmtId="200" fontId="0" fillId="0" borderId="23" xfId="0" applyNumberFormat="1" applyFont="1" applyFill="1" applyBorder="1" applyAlignment="1">
      <x:alignment vertical="center"/>
    </x:xf>
    <x:xf numFmtId="201" fontId="0" fillId="5" borderId="6" xfId="0" applyNumberFormat="1" applyFont="1" applyFill="1" applyBorder="1" applyAlignment="1">
      <x:alignment horizontal="center" vertical="center" wrapText="1"/>
    </x:xf>
    <x:xf numFmtId="201" fontId="0" fillId="0" borderId="1" xfId="0" applyNumberFormat="1" applyFont="1" applyFill="1" applyBorder="1" applyAlignment="1">
      <x:alignment horizontal="center" vertical="center" wrapText="1"/>
    </x:xf>
    <x:xf numFmtId="201" fontId="0" fillId="5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center"/>
    </x:xf>
    <x:xf numFmtId="201" fontId="0" fillId="0" borderId="13" xfId="0" applyNumberFormat="1" applyFont="1" applyFill="1" applyBorder="1" applyAlignment="1">
      <x:alignment vertical="center"/>
    </x:xf>
    <x:xf numFmtId="201" fontId="0" fillId="5" borderId="16" xfId="0" applyNumberFormat="1" applyFont="1" applyFill="1" applyBorder="1" applyAlignment="1">
      <x:alignment horizontal="center" vertical="center" wrapText="1"/>
    </x:xf>
    <x:xf numFmtId="201" fontId="0" fillId="0" borderId="4" xfId="0" applyNumberFormat="1" applyFont="1" applyFill="1" applyBorder="1" applyAlignment="1">
      <x:alignment horizontal="center" vertical="center" wrapText="1"/>
    </x:xf>
    <x:xf numFmtId="201" fontId="0" fillId="5" borderId="4" xfId="0" applyNumberFormat="1" applyFont="1" applyFill="1" applyBorder="1" applyAlignment="1">
      <x:alignment horizontal="center" vertical="center" wrapText="1"/>
    </x:xf>
    <x:xf numFmtId="201" fontId="0" fillId="0" borderId="3" xfId="0" applyNumberFormat="1" applyFont="1" applyFill="1" applyBorder="1" applyAlignment="1">
      <x:alignment horizontal="left" vertical="center" wrapText="1"/>
    </x:xf>
    <x:xf numFmtId="201" fontId="0" fillId="0" borderId="3" xfId="0" applyNumberFormat="1" applyFont="1" applyFill="1" applyBorder="1" applyAlignment="1">
      <x:alignment horizontal="center" vertical="center" wrapText="1"/>
    </x:xf>
    <x:xf numFmtId="201" fontId="0" fillId="0" borderId="3" xfId="0" applyNumberFormat="1" applyFont="1" applyFill="1" applyBorder="1" applyAlignment="1">
      <x:alignment vertical="center"/>
    </x:xf>
    <x:xf numFmtId="201" fontId="0" fillId="0" borderId="23" xfId="0" applyNumberFormat="1" applyFont="1" applyFill="1" applyBorder="1" applyAlignment="1">
      <x:alignment vertical="center"/>
    </x:xf>
    <x:xf numFmtId="201" fontId="0" fillId="5" borderId="8" xfId="0" applyNumberFormat="1" applyFont="1" applyFill="1" applyBorder="1" applyAlignment="1">
      <x:alignment vertical="center"/>
    </x:xf>
    <x:xf numFmtId="201" fontId="0" fillId="0" borderId="10" xfId="0" applyNumberFormat="1" applyFont="1" applyFill="1" applyBorder="1" applyAlignment="1">
      <x:alignment vertical="center"/>
    </x:xf>
    <x:xf numFmtId="201" fontId="0" fillId="5" borderId="10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5" borderId="18" xfId="0" applyNumberFormat="1" applyFont="1" applyFill="1" applyBorder="1" applyAlignment="1">
      <x:alignment vertical="center"/>
    </x:xf>
    <x:xf numFmtId="201" fontId="0" fillId="0" borderId="20" xfId="0" applyNumberFormat="1" applyFont="1" applyFill="1" applyBorder="1" applyAlignment="1">
      <x:alignment vertical="center"/>
    </x:xf>
    <x:xf numFmtId="201" fontId="0" fillId="5" borderId="20" xfId="0" applyNumberFormat="1" applyFont="1" applyFill="1" applyBorder="1" applyAlignment="1">
      <x:alignment vertical="center"/>
    </x:xf>
    <x:xf numFmtId="201" fontId="0" fillId="0" borderId="24" xfId="0" applyNumberFormat="1" applyFont="1" applyFill="1" applyBorder="1" applyAlignment="1">
      <x:alignment vertical="center"/>
    </x:xf>
    <x:xf numFmtId="202" fontId="0" fillId="5" borderId="7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5" borderId="0" xfId="0" applyNumberFormat="1" applyFont="1" applyFill="1" applyBorder="1" applyAlignment="1">
      <x:alignment vertical="center"/>
    </x:xf>
    <x:xf numFmtId="202" fontId="0" fillId="0" borderId="1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center" vertical="center" wrapText="1"/>
    </x:xf>
    <x:xf numFmtId="165" fontId="0" fillId="0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left"/>
    </x:xf>
    <x:xf numFmtId="0" fontId="6" fillId="6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6" fillId="6" xfId="0" applyNumberFormat="1" applyFont="1" applyFill="1" applyBorder="0" applyAlignment="1">
      <x:alignment horizontal="left" vertical="center"/>
    </x:xf>
    <x:xf numFmtId="0" fontId="7" fillId="7" borderId="25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6" xfId="0" applyNumberFormat="1" applyFont="1" applyFill="1" applyBorder="1"/>
    <x:xf numFmtId="0" fontId="8" fillId="8" borderId="27" xfId="0" applyNumberFormat="1" applyFont="1" applyFill="1" applyBorder="1"/>
    <x:xf numFmtId="0" fontId="8" fillId="8" borderId="28" xfId="0" applyNumberFormat="1" applyFont="1" applyFill="1" applyBorder="1"/>
    <x:xf numFmtId="0" fontId="8" fillId="8" borderId="29" xfId="0" applyNumberFormat="1" applyFont="1" applyFill="1" applyBorder="1"/>
    <x:xf numFmtId="0" fontId="8" fillId="8" xfId="0" applyNumberFormat="1" applyFont="1" applyFill="1" applyBorder="0"/>
    <x:xf numFmtId="0" fontId="8" fillId="8" borderId="30" xfId="0" applyNumberFormat="1" applyFont="1" applyFill="1" applyBorder="1"/>
    <x:xf numFmtId="0" fontId="8" fillId="8" borderId="31" xfId="0" applyNumberFormat="1" applyFont="1" applyFill="1" applyBorder="1"/>
    <x:xf numFmtId="0" fontId="8" fillId="8" borderId="32" xfId="0" applyNumberFormat="1" applyFont="1" applyFill="1" applyBorder="1"/>
    <x:xf numFmtId="0" fontId="8" fillId="8" borderId="33" xfId="0" applyNumberFormat="1" applyFont="1" applyFill="1" applyBorder="1"/>
    <x:xf numFmtId="0" fontId="8" fillId="8" borderId="26" xfId="0" applyNumberFormat="1" applyFont="1" applyFill="1" applyBorder="1" applyAlignment="1">
      <x:alignment horizontal="center"/>
    </x:xf>
    <x:xf numFmtId="0" fontId="8" fillId="8" borderId="27" xfId="0" applyNumberFormat="1" applyFont="1" applyFill="1" applyBorder="1" applyAlignment="1">
      <x:alignment horizontal="center"/>
    </x:xf>
    <x:xf numFmtId="0" fontId="8" fillId="8" borderId="28" xfId="0" applyNumberFormat="1" applyFont="1" applyFill="1" applyBorder="1" applyAlignment="1">
      <x:alignment horizontal="center"/>
    </x:xf>
    <x:xf numFmtId="0" fontId="8" fillId="8" borderId="29" xfId="0" applyNumberFormat="1" applyFont="1" applyFill="1" applyBorder="1" applyAlignment="1">
      <x:alignment horizontal="center"/>
    </x:xf>
    <x:xf numFmtId="0" fontId="8" fillId="8" xfId="0" applyNumberFormat="1" applyFont="1" applyFill="1" applyBorder="0" applyAlignment="1">
      <x:alignment horizontal="center"/>
    </x:xf>
    <x:xf numFmtId="0" fontId="8" fillId="8" borderId="30" xfId="0" applyNumberFormat="1" applyFont="1" applyFill="1" applyBorder="1" applyAlignment="1">
      <x:alignment horizontal="center"/>
    </x:xf>
    <x:xf numFmtId="0" fontId="8" fillId="8" borderId="31" xfId="0" applyNumberFormat="1" applyFont="1" applyFill="1" applyBorder="1" applyAlignment="1">
      <x:alignment horizontal="center"/>
    </x:xf>
    <x:xf numFmtId="0" fontId="8" fillId="8" borderId="32" xfId="0" applyNumberFormat="1" applyFont="1" applyFill="1" applyBorder="1" applyAlignment="1">
      <x:alignment horizontal="center"/>
    </x:xf>
    <x:xf numFmtId="0" fontId="8" fillId="8" borderId="33" xfId="0" applyNumberFormat="1" applyFont="1" applyFill="1" applyBorder="1" applyAlignment="1">
      <x:alignment horizontal="center"/>
    </x:xf>
    <x:xf numFmtId="0" fontId="8" fillId="8" borderId="26" xfId="0" applyNumberFormat="1" applyFont="1" applyFill="1" applyBorder="1" applyAlignment="1">
      <x:alignment horizontal="center" vertical="center"/>
    </x:xf>
    <x:xf numFmtId="0" fontId="8" fillId="8" borderId="27" xfId="0" applyNumberFormat="1" applyFont="1" applyFill="1" applyBorder="1" applyAlignment="1">
      <x:alignment horizontal="center" vertical="center"/>
    </x:xf>
    <x:xf numFmtId="0" fontId="8" fillId="8" borderId="28" xfId="0" applyNumberFormat="1" applyFont="1" applyFill="1" applyBorder="1" applyAlignment="1">
      <x:alignment horizontal="center" vertical="center"/>
    </x:xf>
    <x:xf numFmtId="0" fontId="8" fillId="8" borderId="29" xfId="0" applyNumberFormat="1" applyFont="1" applyFill="1" applyBorder="1" applyAlignment="1">
      <x:alignment horizontal="center" vertical="center"/>
    </x:xf>
    <x:xf numFmtId="0" fontId="8" fillId="8" xfId="0" applyNumberFormat="1" applyFont="1" applyFill="1" applyBorder="0" applyAlignment="1">
      <x:alignment horizontal="center" vertical="center"/>
    </x:xf>
    <x:xf numFmtId="0" fontId="8" fillId="8" borderId="30" xfId="0" applyNumberFormat="1" applyFont="1" applyFill="1" applyBorder="1" applyAlignment="1">
      <x:alignment horizontal="center" vertical="center"/>
    </x:xf>
    <x:xf numFmtId="0" fontId="8" fillId="8" borderId="31" xfId="0" applyNumberFormat="1" applyFont="1" applyFill="1" applyBorder="1" applyAlignment="1">
      <x:alignment horizontal="center" vertical="center"/>
    </x:xf>
    <x:xf numFmtId="0" fontId="8" fillId="8" borderId="32" xfId="0" applyNumberFormat="1" applyFont="1" applyFill="1" applyBorder="1" applyAlignment="1">
      <x:alignment horizontal="center" vertical="center"/>
    </x:xf>
    <x:xf numFmtId="0" fontId="8" fillId="8" borderId="33" xfId="0" applyNumberFormat="1" applyFont="1" applyFill="1" applyBorder="1" applyAlignment="1">
      <x:alignment horizontal="center" vertical="center"/>
    </x:xf>
    <x:xf numFmtId="201" fontId="8" fillId="8" borderId="26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/>
    <x:xf numFmtId="0" fontId="9" fillId="8" borderId="26" xfId="0" applyNumberFormat="1" applyFont="1" applyFill="1" applyBorder="1"/>
    <x:xf numFmtId="0" fontId="9" fillId="8" borderId="27" xfId="0" applyNumberFormat="1" applyFont="1" applyFill="1" applyBorder="1"/>
    <x:xf numFmtId="0" fontId="9" fillId="8" borderId="28" xfId="0" applyNumberFormat="1" applyFont="1" applyFill="1" applyBorder="1"/>
    <x:xf numFmtId="0" fontId="9" fillId="8" borderId="26" xfId="0" applyNumberFormat="1" applyFont="1" applyFill="1" applyBorder="1" applyAlignment="1">
      <x:alignment horizontal="center"/>
    </x:xf>
    <x:xf numFmtId="0" fontId="9" fillId="8" borderId="27" xfId="0" applyNumberFormat="1" applyFont="1" applyFill="1" applyBorder="1" applyAlignment="1">
      <x:alignment horizontal="center"/>
    </x:xf>
    <x:xf numFmtId="0" fontId="9" fillId="8" borderId="28" xfId="0" applyNumberFormat="1" applyFont="1" applyFill="1" applyBorder="1" applyAlignment="1">
      <x:alignment horizontal="center"/>
    </x:xf>
    <x:xf numFmtId="0" fontId="9" fillId="8" borderId="26" xfId="0" applyNumberFormat="1" applyFont="1" applyFill="1" applyBorder="1" applyAlignment="1">
      <x:alignment horizontal="center" vertical="center"/>
    </x:xf>
    <x:xf numFmtId="0" fontId="9" fillId="8" borderId="27" xfId="0" applyNumberFormat="1" applyFont="1" applyFill="1" applyBorder="1" applyAlignment="1">
      <x:alignment horizontal="center" vertical="center"/>
    </x:xf>
    <x:xf numFmtId="0" fontId="9" fillId="8" borderId="28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26" xfId="0" applyNumberFormat="1" applyFont="1" applyFill="1" applyBorder="1"/>
    <x:xf numFmtId="0" fontId="8" fillId="9" borderId="27" xfId="0" applyNumberFormat="1" applyFont="1" applyFill="1" applyBorder="1"/>
    <x:xf numFmtId="0" fontId="8" fillId="9" borderId="28" xfId="0" applyNumberFormat="1" applyFont="1" applyFill="1" applyBorder="1"/>
    <x:xf numFmtId="0" fontId="8" fillId="9" borderId="29" xfId="0" applyNumberFormat="1" applyFont="1" applyFill="1" applyBorder="1"/>
    <x:xf numFmtId="0" fontId="8" fillId="9" xfId="0" applyNumberFormat="1" applyFont="1" applyFill="1" applyBorder="0"/>
    <x:xf numFmtId="0" fontId="8" fillId="9" borderId="30" xfId="0" applyNumberFormat="1" applyFont="1" applyFill="1" applyBorder="1"/>
    <x:xf numFmtId="0" fontId="8" fillId="9" borderId="31" xfId="0" applyNumberFormat="1" applyFont="1" applyFill="1" applyBorder="1"/>
    <x:xf numFmtId="0" fontId="8" fillId="9" borderId="32" xfId="0" applyNumberFormat="1" applyFont="1" applyFill="1" applyBorder="1"/>
    <x:xf numFmtId="0" fontId="8" fillId="9" borderId="33" xfId="0" applyNumberFormat="1" applyFont="1" applyFill="1" applyBorder="1"/>
    <x:xf numFmtId="0" fontId="8" fillId="9" borderId="26" xfId="0" applyNumberFormat="1" applyFont="1" applyFill="1" applyBorder="1" applyAlignment="1">
      <x:alignment horizontal="center"/>
    </x:xf>
    <x:xf numFmtId="0" fontId="8" fillId="9" borderId="27" xfId="0" applyNumberFormat="1" applyFont="1" applyFill="1" applyBorder="1" applyAlignment="1">
      <x:alignment horizontal="center"/>
    </x:xf>
    <x:xf numFmtId="0" fontId="8" fillId="9" borderId="28" xfId="0" applyNumberFormat="1" applyFont="1" applyFill="1" applyBorder="1" applyAlignment="1">
      <x:alignment horizontal="center"/>
    </x:xf>
    <x:xf numFmtId="0" fontId="8" fillId="9" borderId="29" xfId="0" applyNumberFormat="1" applyFont="1" applyFill="1" applyBorder="1" applyAlignment="1">
      <x:alignment horizontal="center"/>
    </x:xf>
    <x:xf numFmtId="0" fontId="8" fillId="9" xfId="0" applyNumberFormat="1" applyFont="1" applyFill="1" applyBorder="0" applyAlignment="1">
      <x:alignment horizontal="center"/>
    </x:xf>
    <x:xf numFmtId="0" fontId="8" fillId="9" borderId="30" xfId="0" applyNumberFormat="1" applyFont="1" applyFill="1" applyBorder="1" applyAlignment="1">
      <x:alignment horizontal="center"/>
    </x:xf>
    <x:xf numFmtId="0" fontId="8" fillId="9" borderId="31" xfId="0" applyNumberFormat="1" applyFont="1" applyFill="1" applyBorder="1" applyAlignment="1">
      <x:alignment horizontal="center"/>
    </x:xf>
    <x:xf numFmtId="0" fontId="8" fillId="9" borderId="32" xfId="0" applyNumberFormat="1" applyFont="1" applyFill="1" applyBorder="1" applyAlignment="1">
      <x:alignment horizontal="center"/>
    </x:xf>
    <x:xf numFmtId="0" fontId="8" fillId="9" borderId="33" xfId="0" applyNumberFormat="1" applyFont="1" applyFill="1" applyBorder="1" applyAlignment="1">
      <x:alignment horizontal="center"/>
    </x:xf>
    <x:xf numFmtId="0" fontId="8" fillId="9" borderId="26" xfId="0" applyNumberFormat="1" applyFont="1" applyFill="1" applyBorder="1" applyAlignment="1">
      <x:alignment horizontal="center" vertical="center"/>
    </x:xf>
    <x:xf numFmtId="0" fontId="8" fillId="9" borderId="27" xfId="0" applyNumberFormat="1" applyFont="1" applyFill="1" applyBorder="1" applyAlignment="1">
      <x:alignment horizontal="center" vertical="center"/>
    </x:xf>
    <x:xf numFmtId="0" fontId="8" fillId="9" borderId="28" xfId="0" applyNumberFormat="1" applyFont="1" applyFill="1" applyBorder="1" applyAlignment="1">
      <x:alignment horizontal="center" vertical="center"/>
    </x:xf>
    <x:xf numFmtId="0" fontId="8" fillId="9" borderId="29" xfId="0" applyNumberFormat="1" applyFont="1" applyFill="1" applyBorder="1" applyAlignment="1">
      <x:alignment horizontal="center" vertical="center"/>
    </x:xf>
    <x:xf numFmtId="0" fontId="8" fillId="9" xfId="0" applyNumberFormat="1" applyFont="1" applyFill="1" applyBorder="0" applyAlignment="1">
      <x:alignment horizontal="center" vertical="center"/>
    </x:xf>
    <x:xf numFmtId="0" fontId="8" fillId="9" borderId="30" xfId="0" applyNumberFormat="1" applyFont="1" applyFill="1" applyBorder="1" applyAlignment="1">
      <x:alignment horizontal="center" vertical="center"/>
    </x:xf>
    <x:xf numFmtId="0" fontId="8" fillId="9" borderId="31" xfId="0" applyNumberFormat="1" applyFont="1" applyFill="1" applyBorder="1" applyAlignment="1">
      <x:alignment horizontal="center" vertical="center"/>
    </x:xf>
    <x:xf numFmtId="0" fontId="8" fillId="9" borderId="32" xfId="0" applyNumberFormat="1" applyFont="1" applyFill="1" applyBorder="1" applyAlignment="1">
      <x:alignment horizontal="center" vertical="center"/>
    </x:xf>
    <x:xf numFmtId="0" fontId="8" fillId="9" borderId="33" xfId="0" applyNumberFormat="1" applyFont="1" applyFill="1" applyBorder="1" applyAlignment="1">
      <x:alignment horizontal="center" vertical="center"/>
    </x:xf>
    <x:xf numFmtId="203" fontId="8" fillId="9" borderId="26" xfId="0" applyNumberFormat="1" applyFont="1" applyFill="1" applyBorder="1" applyAlignment="1">
      <x:alignment horizontal="center" vertical="center"/>
    </x:xf>
    <x:xf numFmtId="0" fontId="9" fillId="9" borderId="0" xfId="0" applyNumberFormat="1" applyFont="1" applyFill="1" applyBorder="1"/>
    <x:xf numFmtId="0" fontId="9" fillId="9" borderId="26" xfId="0" applyNumberFormat="1" applyFont="1" applyFill="1" applyBorder="1"/>
    <x:xf numFmtId="0" fontId="9" fillId="9" borderId="27" xfId="0" applyNumberFormat="1" applyFont="1" applyFill="1" applyBorder="1"/>
    <x:xf numFmtId="0" fontId="9" fillId="9" borderId="28" xfId="0" applyNumberFormat="1" applyFont="1" applyFill="1" applyBorder="1"/>
    <x:xf numFmtId="0" fontId="9" fillId="9" borderId="26" xfId="0" applyNumberFormat="1" applyFont="1" applyFill="1" applyBorder="1" applyAlignment="1">
      <x:alignment horizontal="center"/>
    </x:xf>
    <x:xf numFmtId="0" fontId="9" fillId="9" borderId="27" xfId="0" applyNumberFormat="1" applyFont="1" applyFill="1" applyBorder="1" applyAlignment="1">
      <x:alignment horizontal="center"/>
    </x:xf>
    <x:xf numFmtId="0" fontId="9" fillId="9" borderId="28" xfId="0" applyNumberFormat="1" applyFont="1" applyFill="1" applyBorder="1" applyAlignment="1">
      <x:alignment horizontal="center"/>
    </x:xf>
    <x:xf numFmtId="0" fontId="9" fillId="9" borderId="26" xfId="0" applyNumberFormat="1" applyFont="1" applyFill="1" applyBorder="1" applyAlignment="1">
      <x:alignment horizontal="center" vertical="center"/>
    </x:xf>
    <x:xf numFmtId="0" fontId="9" fillId="9" borderId="27" xfId="0" applyNumberFormat="1" applyFont="1" applyFill="1" applyBorder="1" applyAlignment="1">
      <x:alignment horizontal="center" vertical="center"/>
    </x:xf>
    <x:xf numFmtId="0" fontId="9" fillId="9" borderId="28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26" xfId="0" applyNumberFormat="1" applyFont="1" applyFill="1" applyBorder="1"/>
    <x:xf numFmtId="0" fontId="8" fillId="10" borderId="27" xfId="0" applyNumberFormat="1" applyFont="1" applyFill="1" applyBorder="1"/>
    <x:xf numFmtId="0" fontId="8" fillId="10" borderId="28" xfId="0" applyNumberFormat="1" applyFont="1" applyFill="1" applyBorder="1"/>
    <x:xf numFmtId="0" fontId="8" fillId="10" borderId="29" xfId="0" applyNumberFormat="1" applyFont="1" applyFill="1" applyBorder="1"/>
    <x:xf numFmtId="0" fontId="8" fillId="10" xfId="0" applyNumberFormat="1" applyFont="1" applyFill="1" applyBorder="0"/>
    <x:xf numFmtId="0" fontId="8" fillId="10" borderId="30" xfId="0" applyNumberFormat="1" applyFont="1" applyFill="1" applyBorder="1"/>
    <x:xf numFmtId="0" fontId="8" fillId="10" borderId="31" xfId="0" applyNumberFormat="1" applyFont="1" applyFill="1" applyBorder="1"/>
    <x:xf numFmtId="0" fontId="8" fillId="10" borderId="32" xfId="0" applyNumberFormat="1" applyFont="1" applyFill="1" applyBorder="1"/>
    <x:xf numFmtId="0" fontId="8" fillId="10" borderId="33" xfId="0" applyNumberFormat="1" applyFont="1" applyFill="1" applyBorder="1"/>
    <x:xf numFmtId="0" fontId="8" fillId="10" borderId="26" xfId="0" applyNumberFormat="1" applyFont="1" applyFill="1" applyBorder="1" applyAlignment="1">
      <x:alignment horizontal="center"/>
    </x:xf>
    <x:xf numFmtId="0" fontId="8" fillId="10" borderId="27" xfId="0" applyNumberFormat="1" applyFont="1" applyFill="1" applyBorder="1" applyAlignment="1">
      <x:alignment horizontal="center"/>
    </x:xf>
    <x:xf numFmtId="0" fontId="8" fillId="10" borderId="28" xfId="0" applyNumberFormat="1" applyFont="1" applyFill="1" applyBorder="1" applyAlignment="1">
      <x:alignment horizontal="center"/>
    </x:xf>
    <x:xf numFmtId="0" fontId="8" fillId="10" borderId="29" xfId="0" applyNumberFormat="1" applyFont="1" applyFill="1" applyBorder="1" applyAlignment="1">
      <x:alignment horizontal="center"/>
    </x:xf>
    <x:xf numFmtId="0" fontId="8" fillId="10" xfId="0" applyNumberFormat="1" applyFont="1" applyFill="1" applyBorder="0" applyAlignment="1">
      <x:alignment horizontal="center"/>
    </x:xf>
    <x:xf numFmtId="0" fontId="8" fillId="10" borderId="30" xfId="0" applyNumberFormat="1" applyFont="1" applyFill="1" applyBorder="1" applyAlignment="1">
      <x:alignment horizontal="center"/>
    </x:xf>
    <x:xf numFmtId="0" fontId="8" fillId="10" borderId="31" xfId="0" applyNumberFormat="1" applyFont="1" applyFill="1" applyBorder="1" applyAlignment="1">
      <x:alignment horizontal="center"/>
    </x:xf>
    <x:xf numFmtId="0" fontId="8" fillId="10" borderId="32" xfId="0" applyNumberFormat="1" applyFont="1" applyFill="1" applyBorder="1" applyAlignment="1">
      <x:alignment horizontal="center"/>
    </x:xf>
    <x:xf numFmtId="0" fontId="8" fillId="10" borderId="33" xfId="0" applyNumberFormat="1" applyFont="1" applyFill="1" applyBorder="1" applyAlignment="1">
      <x:alignment horizontal="center"/>
    </x:xf>
    <x:xf numFmtId="0" fontId="8" fillId="10" borderId="26" xfId="0" applyNumberFormat="1" applyFont="1" applyFill="1" applyBorder="1" applyAlignment="1">
      <x:alignment horizontal="center" vertical="center"/>
    </x:xf>
    <x:xf numFmtId="0" fontId="8" fillId="10" borderId="27" xfId="0" applyNumberFormat="1" applyFont="1" applyFill="1" applyBorder="1" applyAlignment="1">
      <x:alignment horizontal="center" vertical="center"/>
    </x:xf>
    <x:xf numFmtId="0" fontId="8" fillId="10" borderId="28" xfId="0" applyNumberFormat="1" applyFont="1" applyFill="1" applyBorder="1" applyAlignment="1">
      <x:alignment horizontal="center" vertical="center"/>
    </x:xf>
    <x:xf numFmtId="0" fontId="8" fillId="10" borderId="29" xfId="0" applyNumberFormat="1" applyFont="1" applyFill="1" applyBorder="1" applyAlignment="1">
      <x:alignment horizontal="center" vertical="center"/>
    </x:xf>
    <x:xf numFmtId="0" fontId="8" fillId="10" xfId="0" applyNumberFormat="1" applyFont="1" applyFill="1" applyBorder="0" applyAlignment="1">
      <x:alignment horizontal="center" vertical="center"/>
    </x:xf>
    <x:xf numFmtId="0" fontId="8" fillId="10" borderId="30" xfId="0" applyNumberFormat="1" applyFont="1" applyFill="1" applyBorder="1" applyAlignment="1">
      <x:alignment horizontal="center" vertical="center"/>
    </x:xf>
    <x:xf numFmtId="0" fontId="8" fillId="10" borderId="31" xfId="0" applyNumberFormat="1" applyFont="1" applyFill="1" applyBorder="1" applyAlignment="1">
      <x:alignment horizontal="center" vertical="center"/>
    </x:xf>
    <x:xf numFmtId="0" fontId="8" fillId="10" borderId="32" xfId="0" applyNumberFormat="1" applyFont="1" applyFill="1" applyBorder="1" applyAlignment="1">
      <x:alignment horizontal="center" vertical="center"/>
    </x:xf>
    <x:xf numFmtId="0" fontId="8" fillId="10" borderId="33" xfId="0" applyNumberFormat="1" applyFont="1" applyFill="1" applyBorder="1" applyAlignment="1">
      <x:alignment horizontal="center" vertical="center"/>
    </x:xf>
    <x:xf numFmtId="201" fontId="8" fillId="10" borderId="26" xfId="0" applyNumberFormat="1" applyFont="1" applyFill="1" applyBorder="1" applyAlignment="1">
      <x:alignment horizontal="center" vertical="center"/>
    </x:xf>
    <x:xf numFmtId="0" fontId="9" fillId="10" borderId="0" xfId="0" applyNumberFormat="1" applyFont="1" applyFill="1" applyBorder="1"/>
    <x:xf numFmtId="0" fontId="9" fillId="10" borderId="26" xfId="0" applyNumberFormat="1" applyFont="1" applyFill="1" applyBorder="1"/>
    <x:xf numFmtId="0" fontId="9" fillId="10" borderId="27" xfId="0" applyNumberFormat="1" applyFont="1" applyFill="1" applyBorder="1"/>
    <x:xf numFmtId="0" fontId="9" fillId="10" borderId="28" xfId="0" applyNumberFormat="1" applyFont="1" applyFill="1" applyBorder="1"/>
    <x:xf numFmtId="0" fontId="9" fillId="10" borderId="26" xfId="0" applyNumberFormat="1" applyFont="1" applyFill="1" applyBorder="1" applyAlignment="1">
      <x:alignment horizontal="center"/>
    </x:xf>
    <x:xf numFmtId="0" fontId="9" fillId="10" borderId="27" xfId="0" applyNumberFormat="1" applyFont="1" applyFill="1" applyBorder="1" applyAlignment="1">
      <x:alignment horizontal="center"/>
    </x:xf>
    <x:xf numFmtId="0" fontId="9" fillId="10" borderId="28" xfId="0" applyNumberFormat="1" applyFont="1" applyFill="1" applyBorder="1" applyAlignment="1">
      <x:alignment horizontal="center"/>
    </x:xf>
    <x:xf numFmtId="0" fontId="9" fillId="10" borderId="26" xfId="0" applyNumberFormat="1" applyFont="1" applyFill="1" applyBorder="1" applyAlignment="1">
      <x:alignment horizontal="center" vertical="center"/>
    </x:xf>
    <x:xf numFmtId="0" fontId="9" fillId="10" borderId="27" xfId="0" applyNumberFormat="1" applyFont="1" applyFill="1" applyBorder="1" applyAlignment="1">
      <x:alignment horizontal="center" vertical="center"/>
    </x:xf>
    <x:xf numFmtId="0" fontId="9" fillId="10" borderId="28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26" xfId="0" applyNumberFormat="1" applyFont="1" applyFill="1" applyBorder="1"/>
    <x:xf numFmtId="0" fontId="8" fillId="11" borderId="28" xfId="0" applyNumberFormat="1" applyFont="1" applyFill="1" applyBorder="1"/>
    <x:xf numFmtId="0" fontId="8" fillId="11" borderId="29" xfId="0" applyNumberFormat="1" applyFont="1" applyFill="1" applyBorder="1"/>
    <x:xf numFmtId="0" fontId="8" fillId="11" borderId="30" xfId="0" applyNumberFormat="1" applyFont="1" applyFill="1" applyBorder="1"/>
    <x:xf numFmtId="0" fontId="8" fillId="11" borderId="31" xfId="0" applyNumberFormat="1" applyFont="1" applyFill="1" applyBorder="1"/>
    <x:xf numFmtId="0" fontId="8" fillId="11" borderId="33" xfId="0" applyNumberFormat="1" applyFont="1" applyFill="1" applyBorder="1"/>
    <x:xf numFmtId="0" fontId="8" fillId="11" borderId="26" xfId="0" applyNumberFormat="1" applyFont="1" applyFill="1" applyBorder="1" applyAlignment="1">
      <x:alignment horizontal="center"/>
    </x:xf>
    <x:xf numFmtId="0" fontId="8" fillId="11" borderId="28" xfId="0" applyNumberFormat="1" applyFont="1" applyFill="1" applyBorder="1" applyAlignment="1">
      <x:alignment horizontal="center"/>
    </x:xf>
    <x:xf numFmtId="0" fontId="8" fillId="11" borderId="29" xfId="0" applyNumberFormat="1" applyFont="1" applyFill="1" applyBorder="1" applyAlignment="1">
      <x:alignment horizontal="center"/>
    </x:xf>
    <x:xf numFmtId="0" fontId="8" fillId="11" borderId="30" xfId="0" applyNumberFormat="1" applyFont="1" applyFill="1" applyBorder="1" applyAlignment="1">
      <x:alignment horizontal="center"/>
    </x:xf>
    <x:xf numFmtId="0" fontId="8" fillId="11" borderId="31" xfId="0" applyNumberFormat="1" applyFont="1" applyFill="1" applyBorder="1" applyAlignment="1">
      <x:alignment horizontal="center"/>
    </x:xf>
    <x:xf numFmtId="0" fontId="8" fillId="11" borderId="33" xfId="0" applyNumberFormat="1" applyFont="1" applyFill="1" applyBorder="1" applyAlignment="1">
      <x:alignment horizontal="center"/>
    </x:xf>
    <x:xf numFmtId="0" fontId="8" fillId="11" borderId="26" xfId="0" applyNumberFormat="1" applyFont="1" applyFill="1" applyBorder="1" applyAlignment="1">
      <x:alignment horizontal="center" vertical="center"/>
    </x:xf>
    <x:xf numFmtId="0" fontId="8" fillId="11" borderId="28" xfId="0" applyNumberFormat="1" applyFont="1" applyFill="1" applyBorder="1" applyAlignment="1">
      <x:alignment horizontal="center" vertical="center"/>
    </x:xf>
    <x:xf numFmtId="0" fontId="8" fillId="11" borderId="29" xfId="0" applyNumberFormat="1" applyFont="1" applyFill="1" applyBorder="1" applyAlignment="1">
      <x:alignment horizontal="center" vertical="center"/>
    </x:xf>
    <x:xf numFmtId="0" fontId="8" fillId="11" borderId="30" xfId="0" applyNumberFormat="1" applyFont="1" applyFill="1" applyBorder="1" applyAlignment="1">
      <x:alignment horizontal="center" vertical="center"/>
    </x:xf>
    <x:xf numFmtId="0" fontId="8" fillId="11" borderId="31" xfId="0" applyNumberFormat="1" applyFont="1" applyFill="1" applyBorder="1" applyAlignment="1">
      <x:alignment horizontal="center" vertical="center"/>
    </x:xf>
    <x:xf numFmtId="0" fontId="8" fillId="11" borderId="33" xfId="0" applyNumberFormat="1" applyFont="1" applyFill="1" applyBorder="1" applyAlignment="1">
      <x:alignment horizontal="center" vertical="center"/>
    </x:xf>
    <x:xf numFmtId="202" fontId="8" fillId="11" borderId="26" xfId="0" applyNumberFormat="1" applyFont="1" applyFill="1" applyBorder="1" applyAlignment="1">
      <x:alignment horizontal="center" vertical="center"/>
    </x:xf>
    <x:xf numFmtId="0" fontId="9" fillId="11" borderId="0" xfId="0" applyNumberFormat="1" applyFont="1" applyFill="1" applyBorder="1"/>
    <x:xf numFmtId="0" fontId="9" fillId="11" borderId="26" xfId="0" applyNumberFormat="1" applyFont="1" applyFill="1" applyBorder="1"/>
    <x:xf numFmtId="0" fontId="9" fillId="11" borderId="28" xfId="0" applyNumberFormat="1" applyFont="1" applyFill="1" applyBorder="1"/>
    <x:xf numFmtId="0" fontId="9" fillId="11" borderId="26" xfId="0" applyNumberFormat="1" applyFont="1" applyFill="1" applyBorder="1" applyAlignment="1">
      <x:alignment horizontal="center"/>
    </x:xf>
    <x:xf numFmtId="0" fontId="9" fillId="11" borderId="28" xfId="0" applyNumberFormat="1" applyFont="1" applyFill="1" applyBorder="1" applyAlignment="1">
      <x:alignment horizontal="center"/>
    </x:xf>
    <x:xf numFmtId="0" fontId="9" fillId="11" borderId="26" xfId="0" applyNumberFormat="1" applyFont="1" applyFill="1" applyBorder="1" applyAlignment="1">
      <x:alignment horizontal="center" vertical="center"/>
    </x:xf>
    <x:xf numFmtId="0" fontId="9" fillId="11" borderId="28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26" xfId="0" applyNumberFormat="1" applyFont="1" applyFill="1" applyBorder="1"/>
    <x:xf numFmtId="0" fontId="8" fillId="12" borderId="27" xfId="0" applyNumberFormat="1" applyFont="1" applyFill="1" applyBorder="1"/>
    <x:xf numFmtId="0" fontId="8" fillId="12" borderId="28" xfId="0" applyNumberFormat="1" applyFont="1" applyFill="1" applyBorder="1"/>
    <x:xf numFmtId="0" fontId="8" fillId="12" borderId="29" xfId="0" applyNumberFormat="1" applyFont="1" applyFill="1" applyBorder="1"/>
    <x:xf numFmtId="0" fontId="8" fillId="12" xfId="0" applyNumberFormat="1" applyFont="1" applyFill="1" applyBorder="0"/>
    <x:xf numFmtId="0" fontId="8" fillId="12" borderId="30" xfId="0" applyNumberFormat="1" applyFont="1" applyFill="1" applyBorder="1"/>
    <x:xf numFmtId="0" fontId="8" fillId="12" borderId="31" xfId="0" applyNumberFormat="1" applyFont="1" applyFill="1" applyBorder="1"/>
    <x:xf numFmtId="0" fontId="8" fillId="12" borderId="32" xfId="0" applyNumberFormat="1" applyFont="1" applyFill="1" applyBorder="1"/>
    <x:xf numFmtId="0" fontId="8" fillId="12" borderId="33" xfId="0" applyNumberFormat="1" applyFont="1" applyFill="1" applyBorder="1"/>
    <x:xf numFmtId="0" fontId="8" fillId="12" borderId="26" xfId="0" applyNumberFormat="1" applyFont="1" applyFill="1" applyBorder="1" applyAlignment="1">
      <x:alignment horizontal="center"/>
    </x:xf>
    <x:xf numFmtId="0" fontId="8" fillId="12" borderId="27" xfId="0" applyNumberFormat="1" applyFont="1" applyFill="1" applyBorder="1" applyAlignment="1">
      <x:alignment horizontal="center"/>
    </x:xf>
    <x:xf numFmtId="0" fontId="8" fillId="12" borderId="28" xfId="0" applyNumberFormat="1" applyFont="1" applyFill="1" applyBorder="1" applyAlignment="1">
      <x:alignment horizontal="center"/>
    </x:xf>
    <x:xf numFmtId="0" fontId="8" fillId="12" borderId="29" xfId="0" applyNumberFormat="1" applyFont="1" applyFill="1" applyBorder="1" applyAlignment="1">
      <x:alignment horizontal="center"/>
    </x:xf>
    <x:xf numFmtId="0" fontId="8" fillId="12" xfId="0" applyNumberFormat="1" applyFont="1" applyFill="1" applyBorder="0" applyAlignment="1">
      <x:alignment horizontal="center"/>
    </x:xf>
    <x:xf numFmtId="0" fontId="8" fillId="12" borderId="30" xfId="0" applyNumberFormat="1" applyFont="1" applyFill="1" applyBorder="1" applyAlignment="1">
      <x:alignment horizontal="center"/>
    </x:xf>
    <x:xf numFmtId="0" fontId="8" fillId="12" borderId="31" xfId="0" applyNumberFormat="1" applyFont="1" applyFill="1" applyBorder="1" applyAlignment="1">
      <x:alignment horizontal="center"/>
    </x:xf>
    <x:xf numFmtId="0" fontId="8" fillId="12" borderId="32" xfId="0" applyNumberFormat="1" applyFont="1" applyFill="1" applyBorder="1" applyAlignment="1">
      <x:alignment horizontal="center"/>
    </x:xf>
    <x:xf numFmtId="0" fontId="8" fillId="12" borderId="33" xfId="0" applyNumberFormat="1" applyFont="1" applyFill="1" applyBorder="1" applyAlignment="1">
      <x:alignment horizontal="center"/>
    </x:xf>
    <x:xf numFmtId="0" fontId="8" fillId="12" borderId="26" xfId="0" applyNumberFormat="1" applyFont="1" applyFill="1" applyBorder="1" applyAlignment="1">
      <x:alignment horizontal="center" vertical="center"/>
    </x:xf>
    <x:xf numFmtId="0" fontId="8" fillId="12" borderId="27" xfId="0" applyNumberFormat="1" applyFont="1" applyFill="1" applyBorder="1" applyAlignment="1">
      <x:alignment horizontal="center" vertical="center"/>
    </x:xf>
    <x:xf numFmtId="0" fontId="8" fillId="12" borderId="28" xfId="0" applyNumberFormat="1" applyFont="1" applyFill="1" applyBorder="1" applyAlignment="1">
      <x:alignment horizontal="center" vertical="center"/>
    </x:xf>
    <x:xf numFmtId="0" fontId="8" fillId="12" borderId="29" xfId="0" applyNumberFormat="1" applyFont="1" applyFill="1" applyBorder="1" applyAlignment="1">
      <x:alignment horizontal="center" vertical="center"/>
    </x:xf>
    <x:xf numFmtId="0" fontId="8" fillId="12" xfId="0" applyNumberFormat="1" applyFont="1" applyFill="1" applyBorder="0" applyAlignment="1">
      <x:alignment horizontal="center" vertical="center"/>
    </x:xf>
    <x:xf numFmtId="0" fontId="8" fillId="12" borderId="30" xfId="0" applyNumberFormat="1" applyFont="1" applyFill="1" applyBorder="1" applyAlignment="1">
      <x:alignment horizontal="center" vertical="center"/>
    </x:xf>
    <x:xf numFmtId="0" fontId="8" fillId="12" borderId="31" xfId="0" applyNumberFormat="1" applyFont="1" applyFill="1" applyBorder="1" applyAlignment="1">
      <x:alignment horizontal="center" vertical="center"/>
    </x:xf>
    <x:xf numFmtId="0" fontId="8" fillId="12" borderId="32" xfId="0" applyNumberFormat="1" applyFont="1" applyFill="1" applyBorder="1" applyAlignment="1">
      <x:alignment horizontal="center" vertical="center"/>
    </x:xf>
    <x:xf numFmtId="0" fontId="8" fillId="12" borderId="33" xfId="0" applyNumberFormat="1" applyFont="1" applyFill="1" applyBorder="1" applyAlignment="1">
      <x:alignment horizontal="center" vertical="center"/>
    </x:xf>
    <x:xf numFmtId="201" fontId="8" fillId="12" borderId="26" xfId="0" applyNumberFormat="1" applyFont="1" applyFill="1" applyBorder="1" applyAlignment="1">
      <x:alignment horizontal="center" vertical="center"/>
    </x:xf>
    <x:xf numFmtId="0" fontId="9" fillId="12" borderId="0" xfId="0" applyNumberFormat="1" applyFont="1" applyFill="1" applyBorder="1"/>
    <x:xf numFmtId="0" fontId="9" fillId="12" borderId="26" xfId="0" applyNumberFormat="1" applyFont="1" applyFill="1" applyBorder="1"/>
    <x:xf numFmtId="0" fontId="9" fillId="12" borderId="27" xfId="0" applyNumberFormat="1" applyFont="1" applyFill="1" applyBorder="1"/>
    <x:xf numFmtId="0" fontId="9" fillId="12" borderId="28" xfId="0" applyNumberFormat="1" applyFont="1" applyFill="1" applyBorder="1"/>
    <x:xf numFmtId="0" fontId="9" fillId="12" borderId="26" xfId="0" applyNumberFormat="1" applyFont="1" applyFill="1" applyBorder="1" applyAlignment="1">
      <x:alignment horizontal="center"/>
    </x:xf>
    <x:xf numFmtId="0" fontId="9" fillId="12" borderId="27" xfId="0" applyNumberFormat="1" applyFont="1" applyFill="1" applyBorder="1" applyAlignment="1">
      <x:alignment horizontal="center"/>
    </x:xf>
    <x:xf numFmtId="0" fontId="9" fillId="12" borderId="28" xfId="0" applyNumberFormat="1" applyFont="1" applyFill="1" applyBorder="1" applyAlignment="1">
      <x:alignment horizontal="center"/>
    </x:xf>
    <x:xf numFmtId="0" fontId="9" fillId="12" borderId="26" xfId="0" applyNumberFormat="1" applyFont="1" applyFill="1" applyBorder="1" applyAlignment="1">
      <x:alignment horizontal="center" vertical="center"/>
    </x:xf>
    <x:xf numFmtId="0" fontId="9" fillId="12" borderId="27" xfId="0" applyNumberFormat="1" applyFont="1" applyFill="1" applyBorder="1" applyAlignment="1">
      <x:alignment horizontal="center" vertical="center"/>
    </x:xf>
    <x:xf numFmtId="0" fontId="9" fillId="12" borderId="28" xfId="0" applyNumberFormat="1" applyFont="1" applyFill="1" applyBorder="1" applyAlignment="1">
      <x:alignment horizontal="center" vertical="center"/>
    </x:xf>
    <x:xf numFmtId="204" fontId="8" fillId="12" borderId="26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26" xfId="0" applyNumberFormat="1" applyFont="1" applyFill="1" applyBorder="1"/>
    <x:xf numFmtId="0" fontId="8" fillId="13" borderId="27" xfId="0" applyNumberFormat="1" applyFont="1" applyFill="1" applyBorder="1"/>
    <x:xf numFmtId="0" fontId="8" fillId="13" borderId="28" xfId="0" applyNumberFormat="1" applyFont="1" applyFill="1" applyBorder="1"/>
    <x:xf numFmtId="0" fontId="8" fillId="13" borderId="29" xfId="0" applyNumberFormat="1" applyFont="1" applyFill="1" applyBorder="1"/>
    <x:xf numFmtId="0" fontId="8" fillId="13" xfId="0" applyNumberFormat="1" applyFont="1" applyFill="1" applyBorder="0"/>
    <x:xf numFmtId="0" fontId="8" fillId="13" borderId="30" xfId="0" applyNumberFormat="1" applyFont="1" applyFill="1" applyBorder="1"/>
    <x:xf numFmtId="0" fontId="8" fillId="13" borderId="31" xfId="0" applyNumberFormat="1" applyFont="1" applyFill="1" applyBorder="1"/>
    <x:xf numFmtId="0" fontId="8" fillId="13" borderId="32" xfId="0" applyNumberFormat="1" applyFont="1" applyFill="1" applyBorder="1"/>
    <x:xf numFmtId="0" fontId="8" fillId="13" borderId="33" xfId="0" applyNumberFormat="1" applyFont="1" applyFill="1" applyBorder="1"/>
    <x:xf numFmtId="0" fontId="8" fillId="13" borderId="26" xfId="0" applyNumberFormat="1" applyFont="1" applyFill="1" applyBorder="1" applyAlignment="1">
      <x:alignment horizontal="center"/>
    </x:xf>
    <x:xf numFmtId="0" fontId="8" fillId="13" borderId="27" xfId="0" applyNumberFormat="1" applyFont="1" applyFill="1" applyBorder="1" applyAlignment="1">
      <x:alignment horizontal="center"/>
    </x:xf>
    <x:xf numFmtId="0" fontId="8" fillId="13" borderId="28" xfId="0" applyNumberFormat="1" applyFont="1" applyFill="1" applyBorder="1" applyAlignment="1">
      <x:alignment horizontal="center"/>
    </x:xf>
    <x:xf numFmtId="0" fontId="8" fillId="13" borderId="29" xfId="0" applyNumberFormat="1" applyFont="1" applyFill="1" applyBorder="1" applyAlignment="1">
      <x:alignment horizontal="center"/>
    </x:xf>
    <x:xf numFmtId="0" fontId="8" fillId="13" xfId="0" applyNumberFormat="1" applyFont="1" applyFill="1" applyBorder="0" applyAlignment="1">
      <x:alignment horizontal="center"/>
    </x:xf>
    <x:xf numFmtId="0" fontId="8" fillId="13" borderId="30" xfId="0" applyNumberFormat="1" applyFont="1" applyFill="1" applyBorder="1" applyAlignment="1">
      <x:alignment horizontal="center"/>
    </x:xf>
    <x:xf numFmtId="0" fontId="8" fillId="13" borderId="31" xfId="0" applyNumberFormat="1" applyFont="1" applyFill="1" applyBorder="1" applyAlignment="1">
      <x:alignment horizontal="center"/>
    </x:xf>
    <x:xf numFmtId="0" fontId="8" fillId="13" borderId="32" xfId="0" applyNumberFormat="1" applyFont="1" applyFill="1" applyBorder="1" applyAlignment="1">
      <x:alignment horizontal="center"/>
    </x:xf>
    <x:xf numFmtId="0" fontId="8" fillId="13" borderId="33" xfId="0" applyNumberFormat="1" applyFont="1" applyFill="1" applyBorder="1" applyAlignment="1">
      <x:alignment horizontal="center"/>
    </x:xf>
    <x:xf numFmtId="0" fontId="8" fillId="13" borderId="26" xfId="0" applyNumberFormat="1" applyFont="1" applyFill="1" applyBorder="1" applyAlignment="1">
      <x:alignment horizontal="center" vertical="center"/>
    </x:xf>
    <x:xf numFmtId="0" fontId="8" fillId="13" borderId="27" xfId="0" applyNumberFormat="1" applyFont="1" applyFill="1" applyBorder="1" applyAlignment="1">
      <x:alignment horizontal="center" vertical="center"/>
    </x:xf>
    <x:xf numFmtId="0" fontId="8" fillId="13" borderId="28" xfId="0" applyNumberFormat="1" applyFont="1" applyFill="1" applyBorder="1" applyAlignment="1">
      <x:alignment horizontal="center" vertical="center"/>
    </x:xf>
    <x:xf numFmtId="0" fontId="8" fillId="13" borderId="29" xfId="0" applyNumberFormat="1" applyFont="1" applyFill="1" applyBorder="1" applyAlignment="1">
      <x:alignment horizontal="center" vertical="center"/>
    </x:xf>
    <x:xf numFmtId="0" fontId="8" fillId="13" xfId="0" applyNumberFormat="1" applyFont="1" applyFill="1" applyBorder="0" applyAlignment="1">
      <x:alignment horizontal="center" vertical="center"/>
    </x:xf>
    <x:xf numFmtId="0" fontId="8" fillId="13" borderId="30" xfId="0" applyNumberFormat="1" applyFont="1" applyFill="1" applyBorder="1" applyAlignment="1">
      <x:alignment horizontal="center" vertical="center"/>
    </x:xf>
    <x:xf numFmtId="0" fontId="8" fillId="13" borderId="31" xfId="0" applyNumberFormat="1" applyFont="1" applyFill="1" applyBorder="1" applyAlignment="1">
      <x:alignment horizontal="center" vertical="center"/>
    </x:xf>
    <x:xf numFmtId="0" fontId="8" fillId="13" borderId="32" xfId="0" applyNumberFormat="1" applyFont="1" applyFill="1" applyBorder="1" applyAlignment="1">
      <x:alignment horizontal="center" vertical="center"/>
    </x:xf>
    <x:xf numFmtId="0" fontId="8" fillId="13" borderId="33" xfId="0" applyNumberFormat="1" applyFont="1" applyFill="1" applyBorder="1" applyAlignment="1">
      <x:alignment horizontal="center" vertical="center"/>
    </x:xf>
    <x:xf numFmtId="201" fontId="8" fillId="13" borderId="26" xfId="0" applyNumberFormat="1" applyFont="1" applyFill="1" applyBorder="1" applyAlignment="1">
      <x:alignment horizontal="center" vertical="center"/>
    </x:xf>
    <x:xf numFmtId="0" fontId="9" fillId="13" borderId="0" xfId="0" applyNumberFormat="1" applyFont="1" applyFill="1" applyBorder="1"/>
    <x:xf numFmtId="0" fontId="9" fillId="13" borderId="26" xfId="0" applyNumberFormat="1" applyFont="1" applyFill="1" applyBorder="1"/>
    <x:xf numFmtId="0" fontId="9" fillId="13" borderId="27" xfId="0" applyNumberFormat="1" applyFont="1" applyFill="1" applyBorder="1"/>
    <x:xf numFmtId="0" fontId="9" fillId="13" borderId="28" xfId="0" applyNumberFormat="1" applyFont="1" applyFill="1" applyBorder="1"/>
    <x:xf numFmtId="0" fontId="9" fillId="13" borderId="26" xfId="0" applyNumberFormat="1" applyFont="1" applyFill="1" applyBorder="1" applyAlignment="1">
      <x:alignment horizontal="center"/>
    </x:xf>
    <x:xf numFmtId="0" fontId="9" fillId="13" borderId="27" xfId="0" applyNumberFormat="1" applyFont="1" applyFill="1" applyBorder="1" applyAlignment="1">
      <x:alignment horizontal="center"/>
    </x:xf>
    <x:xf numFmtId="0" fontId="9" fillId="13" borderId="28" xfId="0" applyNumberFormat="1" applyFont="1" applyFill="1" applyBorder="1" applyAlignment="1">
      <x:alignment horizontal="center"/>
    </x:xf>
    <x:xf numFmtId="0" fontId="9" fillId="13" borderId="26" xfId="0" applyNumberFormat="1" applyFont="1" applyFill="1" applyBorder="1" applyAlignment="1">
      <x:alignment horizontal="center" vertical="center"/>
    </x:xf>
    <x:xf numFmtId="0" fontId="9" fillId="13" borderId="27" xfId="0" applyNumberFormat="1" applyFont="1" applyFill="1" applyBorder="1" applyAlignment="1">
      <x:alignment horizontal="center" vertical="center"/>
    </x:xf>
    <x:xf numFmtId="0" fontId="9" fillId="13" borderId="28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26" xfId="0" applyNumberFormat="1" applyFont="1" applyFill="1" applyBorder="1"/>
    <x:xf numFmtId="0" fontId="8" fillId="14" borderId="28" xfId="0" applyNumberFormat="1" applyFont="1" applyFill="1" applyBorder="1"/>
    <x:xf numFmtId="0" fontId="8" fillId="14" borderId="29" xfId="0" applyNumberFormat="1" applyFont="1" applyFill="1" applyBorder="1"/>
    <x:xf numFmtId="0" fontId="8" fillId="14" borderId="30" xfId="0" applyNumberFormat="1" applyFont="1" applyFill="1" applyBorder="1"/>
    <x:xf numFmtId="0" fontId="8" fillId="14" borderId="31" xfId="0" applyNumberFormat="1" applyFont="1" applyFill="1" applyBorder="1"/>
    <x:xf numFmtId="0" fontId="8" fillId="14" borderId="33" xfId="0" applyNumberFormat="1" applyFont="1" applyFill="1" applyBorder="1"/>
    <x:xf numFmtId="0" fontId="8" fillId="14" borderId="26" xfId="0" applyNumberFormat="1" applyFont="1" applyFill="1" applyBorder="1" applyAlignment="1">
      <x:alignment horizontal="center"/>
    </x:xf>
    <x:xf numFmtId="0" fontId="8" fillId="14" borderId="28" xfId="0" applyNumberFormat="1" applyFont="1" applyFill="1" applyBorder="1" applyAlignment="1">
      <x:alignment horizontal="center"/>
    </x:xf>
    <x:xf numFmtId="0" fontId="8" fillId="14" borderId="29" xfId="0" applyNumberFormat="1" applyFont="1" applyFill="1" applyBorder="1" applyAlignment="1">
      <x:alignment horizontal="center"/>
    </x:xf>
    <x:xf numFmtId="0" fontId="8" fillId="14" borderId="30" xfId="0" applyNumberFormat="1" applyFont="1" applyFill="1" applyBorder="1" applyAlignment="1">
      <x:alignment horizontal="center"/>
    </x:xf>
    <x:xf numFmtId="0" fontId="8" fillId="14" borderId="31" xfId="0" applyNumberFormat="1" applyFont="1" applyFill="1" applyBorder="1" applyAlignment="1">
      <x:alignment horizontal="center"/>
    </x:xf>
    <x:xf numFmtId="0" fontId="8" fillId="14" borderId="33" xfId="0" applyNumberFormat="1" applyFont="1" applyFill="1" applyBorder="1" applyAlignment="1">
      <x:alignment horizontal="center"/>
    </x:xf>
    <x:xf numFmtId="0" fontId="8" fillId="14" borderId="26" xfId="0" applyNumberFormat="1" applyFont="1" applyFill="1" applyBorder="1" applyAlignment="1">
      <x:alignment horizontal="center" vertical="center"/>
    </x:xf>
    <x:xf numFmtId="0" fontId="8" fillId="14" borderId="28" xfId="0" applyNumberFormat="1" applyFont="1" applyFill="1" applyBorder="1" applyAlignment="1">
      <x:alignment horizontal="center" vertical="center"/>
    </x:xf>
    <x:xf numFmtId="0" fontId="8" fillId="14" borderId="29" xfId="0" applyNumberFormat="1" applyFont="1" applyFill="1" applyBorder="1" applyAlignment="1">
      <x:alignment horizontal="center" vertical="center"/>
    </x:xf>
    <x:xf numFmtId="0" fontId="8" fillId="14" borderId="30" xfId="0" applyNumberFormat="1" applyFont="1" applyFill="1" applyBorder="1" applyAlignment="1">
      <x:alignment horizontal="center" vertical="center"/>
    </x:xf>
    <x:xf numFmtId="0" fontId="8" fillId="14" borderId="31" xfId="0" applyNumberFormat="1" applyFont="1" applyFill="1" applyBorder="1" applyAlignment="1">
      <x:alignment horizontal="center" vertical="center"/>
    </x:xf>
    <x:xf numFmtId="0" fontId="8" fillId="14" borderId="33" xfId="0" applyNumberFormat="1" applyFont="1" applyFill="1" applyBorder="1" applyAlignment="1">
      <x:alignment horizontal="center" vertical="center"/>
    </x:xf>
    <x:xf numFmtId="201" fontId="8" fillId="14" borderId="26" xfId="0" applyNumberFormat="1" applyFont="1" applyFill="1" applyBorder="1" applyAlignment="1">
      <x:alignment horizontal="center" vertical="center"/>
    </x:xf>
    <x:xf numFmtId="0" fontId="9" fillId="14" borderId="0" xfId="0" applyNumberFormat="1" applyFont="1" applyFill="1" applyBorder="1"/>
    <x:xf numFmtId="0" fontId="9" fillId="14" borderId="26" xfId="0" applyNumberFormat="1" applyFont="1" applyFill="1" applyBorder="1"/>
    <x:xf numFmtId="0" fontId="9" fillId="14" borderId="28" xfId="0" applyNumberFormat="1" applyFont="1" applyFill="1" applyBorder="1"/>
    <x:xf numFmtId="0" fontId="9" fillId="14" borderId="26" xfId="0" applyNumberFormat="1" applyFont="1" applyFill="1" applyBorder="1" applyAlignment="1">
      <x:alignment horizontal="center"/>
    </x:xf>
    <x:xf numFmtId="0" fontId="9" fillId="14" borderId="28" xfId="0" applyNumberFormat="1" applyFont="1" applyFill="1" applyBorder="1" applyAlignment="1">
      <x:alignment horizontal="center"/>
    </x:xf>
    <x:xf numFmtId="0" fontId="9" fillId="14" borderId="26" xfId="0" applyNumberFormat="1" applyFont="1" applyFill="1" applyBorder="1" applyAlignment="1">
      <x:alignment horizontal="center" vertical="center"/>
    </x:xf>
    <x:xf numFmtId="0" fontId="9" fillId="14" borderId="28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left"/>
    </x:xf>
    <x:xf numFmtId="0" fontId="2" fillId="6" borderId="0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0" fontId="0" fillId="15" borderId="0" xfId="0" applyNumberFormat="1" applyFont="1" applyFill="1" applyBorder="1"/>
    <x:xf numFmtId="0" fontId="10" fillId="15" borderId="0" xfId="0" applyNumberFormat="1" applyFont="1" applyFill="1" applyBorder="1"/>
    <x:xf numFmtId="0" fontId="10" fillId="15" borderId="0" xfId="0" applyNumberFormat="1" applyFont="1" applyFill="1" applyBorder="1" applyAlignment="1">
      <x:alignment horizontal="center"/>
    </x:xf>
    <x:xf numFmtId="0" fontId="10" fillId="1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202" fontId="0" fillId="0" borderId="35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11" fillId="0" borderId="34" xfId="0" applyNumberFormat="1" applyFont="1" applyFill="1" applyBorder="1" applyAlignment="1">
      <x:alignment wrapText="1"/>
    </x:xf>
    <x:xf numFmtId="0" fontId="11" fillId="0" borderId="37" xfId="0" applyNumberFormat="1" applyFont="1" applyFill="1" applyBorder="1" applyAlignment="1">
      <x:alignment wrapText="1"/>
    </x:xf>
    <x:xf numFmtId="0" fontId="11" fillId="0" borderId="39" xfId="0" applyNumberFormat="1" applyFont="1" applyFill="1" applyBorder="1" applyAlignment="1">
      <x:alignment wrapText="1"/>
    </x:xf>
    <x:xf numFmtId="0" fontId="10" fillId="0" borderId="35" xfId="0" applyNumberFormat="1" applyFont="1" applyFill="1" applyBorder="1" applyAlignment="1">
      <x:alignment wrapText="1"/>
    </x:xf>
    <x:xf numFmtId="0" fontId="10" fillId="0" xfId="0" applyNumberFormat="1" applyFont="1" applyFill="1" applyBorder="0" applyAlignment="1">
      <x:alignment wrapText="1"/>
    </x:xf>
    <x:xf numFmtId="0" fontId="10" fillId="0" borderId="40" xfId="0" applyNumberFormat="1" applyFont="1" applyFill="1" applyBorder="1" applyAlignment="1">
      <x:alignment wrapText="1"/>
    </x:xf>
    <x:xf numFmtId="0" fontId="11" fillId="11" borderId="34" xfId="0" applyNumberFormat="1" applyFont="1" applyFill="1" applyBorder="1" applyAlignment="1">
      <x:alignment wrapText="1"/>
    </x:xf>
    <x:xf numFmtId="0" fontId="10" fillId="11" borderId="35" xfId="0" applyNumberFormat="1" applyFont="1" applyFill="1" applyBorder="1" applyAlignment="1">
      <x:alignment wrapText="1"/>
    </x:xf>
    <x:xf numFmtId="202" fontId="0" fillId="11" borderId="35" xfId="0" applyNumberFormat="1" applyFont="1" applyFill="1" applyBorder="1" applyAlignment="1">
      <x:alignment wrapText="1"/>
    </x:xf>
    <x:xf numFmtId="0" fontId="0" fillId="11" borderId="35" xfId="0" applyNumberFormat="1" applyFont="1" applyFill="1" applyBorder="1" applyAlignment="1">
      <x:alignment wrapText="1"/>
    </x:xf>
    <x:xf numFmtId="0" fontId="0" fillId="11" borderId="36" xfId="0" applyNumberFormat="1" applyFont="1" applyFill="1" applyBorder="1" applyAlignment="1">
      <x:alignment wrapText="1"/>
    </x:xf>
    <x:xf numFmtId="0" fontId="11" fillId="10" borderId="37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0" fillId="10" xfId="0" applyNumberFormat="1" applyFont="1" applyFill="1" applyBorder="0" applyAlignment="1">
      <x:alignment wrapText="1"/>
    </x:xf>
    <x:xf numFmtId="0" fontId="0" fillId="10" borderId="38" xfId="0" applyNumberFormat="1" applyFont="1" applyFill="1" applyBorder="1" applyAlignment="1">
      <x:alignment wrapText="1"/>
    </x:xf>
    <x:xf numFmtId="0" fontId="11" fillId="7" borderId="39" xfId="0" applyNumberFormat="1" applyFont="1" applyFill="1" applyBorder="1" applyAlignment="1">
      <x:alignment wrapText="1"/>
    </x:xf>
    <x:xf numFmtId="0" fontId="10" fillId="7" borderId="40" xfId="0" applyNumberFormat="1" applyFont="1" applyFill="1" applyBorder="1" applyAlignment="1">
      <x:alignment wrapText="1"/>
    </x:xf>
    <x:xf numFmtId="0" fontId="0" fillId="7" borderId="40" xfId="0" applyNumberFormat="1" applyFont="1" applyFill="1" applyBorder="1" applyAlignment="1">
      <x:alignment wrapText="1"/>
    </x:xf>
    <x:xf numFmtId="0" fontId="0" fillId="7" borderId="41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201" fontId="8" fillId="9" borderId="26" xfId="0" applyNumberFormat="1" applyFont="1" applyFill="1" applyBorder="1" applyAlignment="1">
      <x:alignment horizontal="center" vertical="center"/>
    </x:xf>
    <x:xf numFmtId="201" fontId="8" fillId="11" borderId="26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horizontal="center"/>
    </x:xf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xfId="0" applyNumberFormat="1" applyFont="1" applyFill="1" applyBorder="0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200" fontId="0" fillId="0" borderId="35" xfId="0" applyNumberFormat="1" applyFont="1" applyFill="1" applyBorder="1"/>
    <x:xf numFmtId="200" fontId="0" fillId="0" xfId="0" applyNumberFormat="1" applyFont="1" applyFill="1" applyBorder="0"/>
    <x:xf numFmtId="200" fontId="0" fillId="0" borderId="40" xfId="0" applyNumberFormat="1" applyFont="1" applyFill="1" applyBorder="1"/>
    <x:xf numFmtId="202" fontId="0" fillId="0" borderId="35" xfId="0" applyNumberFormat="1" applyFont="1" applyFill="1" applyBorder="1"/>
    <x:xf numFmtId="202" fontId="0" fillId="0" xfId="0" applyNumberFormat="1" applyFont="1" applyFill="1" applyBorder="0"/>
    <x:xf numFmtId="202" fontId="0" fillId="0" borderId="40" xfId="0" applyNumberFormat="1" applyFont="1" applyFill="1" applyBorder="1"/>
    <x:xf numFmtId="204" fontId="8" fillId="11" borderId="26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2" fillId="16" borderId="34" xfId="0" applyNumberFormat="1" applyFont="1" applyFill="1" applyBorder="1" applyAlignment="1">
      <x:alignment horizontal="center"/>
    </x:xf>
    <x:xf numFmtId="0" fontId="2" fillId="16" borderId="35" xfId="0" applyNumberFormat="1" applyFont="1" applyFill="1" applyBorder="1" applyAlignment="1">
      <x:alignment horizontal="center"/>
    </x:xf>
    <x:xf numFmtId="0" fontId="2" fillId="16" borderId="36" xfId="0" applyNumberFormat="1" applyFont="1" applyFill="1" applyBorder="1" applyAlignment="1">
      <x:alignment horizontal="center"/>
    </x:xf>
    <x:xf numFmtId="200" fontId="0" fillId="0" borderId="37" xfId="0" applyNumberFormat="1" applyFont="1" applyFill="1" applyBorder="1"/>
    <x:xf numFmtId="200" fontId="0" fillId="0" borderId="39" xfId="0" applyNumberFormat="1" applyFont="1" applyFill="1" applyBorder="1"/>
    <x:xf numFmtId="0" fontId="8" fillId="11" borderId="27" xfId="0" applyNumberFormat="1" applyFont="1" applyFill="1" applyBorder="1"/>
    <x:xf numFmtId="0" fontId="8" fillId="11" xfId="0" applyNumberFormat="1" applyFont="1" applyFill="1" applyBorder="0"/>
    <x:xf numFmtId="0" fontId="8" fillId="11" borderId="32" xfId="0" applyNumberFormat="1" applyFont="1" applyFill="1" applyBorder="1"/>
    <x:xf numFmtId="0" fontId="8" fillId="11" borderId="27" xfId="0" applyNumberFormat="1" applyFont="1" applyFill="1" applyBorder="1" applyAlignment="1">
      <x:alignment horizontal="center"/>
    </x:xf>
    <x:xf numFmtId="0" fontId="8" fillId="11" xfId="0" applyNumberFormat="1" applyFont="1" applyFill="1" applyBorder="0" applyAlignment="1">
      <x:alignment horizontal="center"/>
    </x:xf>
    <x:xf numFmtId="0" fontId="8" fillId="11" borderId="32" xfId="0" applyNumberFormat="1" applyFont="1" applyFill="1" applyBorder="1" applyAlignment="1">
      <x:alignment horizontal="center"/>
    </x:xf>
    <x:xf numFmtId="0" fontId="8" fillId="11" borderId="27" xfId="0" applyNumberFormat="1" applyFont="1" applyFill="1" applyBorder="1" applyAlignment="1">
      <x:alignment horizontal="center" vertical="center"/>
    </x:xf>
    <x:xf numFmtId="0" fontId="8" fillId="11" xfId="0" applyNumberFormat="1" applyFont="1" applyFill="1" applyBorder="0" applyAlignment="1">
      <x:alignment horizontal="center" vertical="center"/>
    </x:xf>
    <x:xf numFmtId="0" fontId="8" fillId="11" borderId="32" xfId="0" applyNumberFormat="1" applyFont="1" applyFill="1" applyBorder="1" applyAlignment="1">
      <x:alignment horizontal="center" vertical="center"/>
    </x:xf>
    <x:xf numFmtId="0" fontId="9" fillId="11" borderId="27" xfId="0" applyNumberFormat="1" applyFont="1" applyFill="1" applyBorder="1"/>
    <x:xf numFmtId="0" fontId="9" fillId="11" borderId="27" xfId="0" applyNumberFormat="1" applyFont="1" applyFill="1" applyBorder="1" applyAlignment="1">
      <x:alignment horizontal="center"/>
    </x:xf>
    <x:xf numFmtId="0" fontId="9" fillId="11" borderId="27" xfId="0" applyNumberFormat="1" applyFont="1" applyFill="1" applyBorder="1" applyAlignment="1">
      <x:alignment horizontal="center" vertical="center"/>
    </x:xf>
    <x:xf numFmtId="0" fontId="2" fillId="16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16" borderId="34" xfId="0" applyNumberFormat="1" applyFont="1" applyFill="1" applyBorder="1" applyAlignment="1">
      <x:alignment horizontal="center" wrapText="1"/>
    </x:xf>
    <x:xf numFmtId="0" fontId="2" fillId="16" borderId="35" xfId="0" applyNumberFormat="1" applyFont="1" applyFill="1" applyBorder="1" applyAlignment="1">
      <x:alignment horizontal="center" wrapText="1"/>
    </x:xf>
    <x:xf numFmtId="0" fontId="2" fillId="16" borderId="36" xfId="0" applyNumberFormat="1" applyFont="1" applyFill="1" applyBorder="1" applyAlignment="1">
      <x:alignment horizontal="center" wrapText="1"/>
    </x:xf>
    <x:xf numFmtId="200" fontId="0" fillId="0" borderId="37" xfId="0" applyNumberFormat="1" applyFont="1" applyFill="1" applyBorder="1" applyAlignment="1">
      <x:alignment wrapText="1"/>
    </x:xf>
    <x:xf numFmtId="200" fontId="0" fillId="0" borderId="39" xfId="0" applyNumberFormat="1" applyFont="1" applyFill="1" applyBorder="1" applyAlignment="1">
      <x:alignment wrapText="1"/>
    </x:xf>
    <x:xf numFmtId="0" fontId="8" fillId="14" borderId="27" xfId="0" applyNumberFormat="1" applyFont="1" applyFill="1" applyBorder="1"/>
    <x:xf numFmtId="0" fontId="8" fillId="14" xfId="0" applyNumberFormat="1" applyFont="1" applyFill="1" applyBorder="0"/>
    <x:xf numFmtId="0" fontId="8" fillId="14" borderId="32" xfId="0" applyNumberFormat="1" applyFont="1" applyFill="1" applyBorder="1"/>
    <x:xf numFmtId="0" fontId="8" fillId="14" borderId="27" xfId="0" applyNumberFormat="1" applyFont="1" applyFill="1" applyBorder="1" applyAlignment="1">
      <x:alignment horizontal="center"/>
    </x:xf>
    <x:xf numFmtId="0" fontId="8" fillId="14" xfId="0" applyNumberFormat="1" applyFont="1" applyFill="1" applyBorder="0" applyAlignment="1">
      <x:alignment horizontal="center"/>
    </x:xf>
    <x:xf numFmtId="0" fontId="8" fillId="14" borderId="32" xfId="0" applyNumberFormat="1" applyFont="1" applyFill="1" applyBorder="1" applyAlignment="1">
      <x:alignment horizontal="center"/>
    </x:xf>
    <x:xf numFmtId="0" fontId="8" fillId="14" borderId="27" xfId="0" applyNumberFormat="1" applyFont="1" applyFill="1" applyBorder="1" applyAlignment="1">
      <x:alignment horizontal="center" vertical="center"/>
    </x:xf>
    <x:xf numFmtId="0" fontId="8" fillId="14" xfId="0" applyNumberFormat="1" applyFont="1" applyFill="1" applyBorder="0" applyAlignment="1">
      <x:alignment horizontal="center" vertical="center"/>
    </x:xf>
    <x:xf numFmtId="0" fontId="8" fillId="14" borderId="32" xfId="0" applyNumberFormat="1" applyFont="1" applyFill="1" applyBorder="1" applyAlignment="1">
      <x:alignment horizontal="center" vertical="center"/>
    </x:xf>
    <x:xf numFmtId="0" fontId="9" fillId="14" borderId="27" xfId="0" applyNumberFormat="1" applyFont="1" applyFill="1" applyBorder="1"/>
    <x:xf numFmtId="0" fontId="9" fillId="14" borderId="27" xfId="0" applyNumberFormat="1" applyFont="1" applyFill="1" applyBorder="1" applyAlignment="1">
      <x:alignment horizontal="center"/>
    </x:xf>
    <x:xf numFmtId="0" fontId="9" fillId="14" borderId="27" xfId="0" applyNumberFormat="1" applyFont="1" applyFill="1" applyBorder="1" applyAlignment="1">
      <x:alignment horizontal="center" vertical="center"/>
    </x:xf>
    <x:xf numFmtId="0" fontId="13" fillId="6" xfId="0" applyNumberFormat="1" applyFont="1" applyFill="1" applyBorder="0" applyAlignment="1">
      <x:alignment horizontal="left" vertical="center"/>
    </x:xf>
    <x:xf numFmtId="0" fontId="14" fillId="7" borderId="25" xfId="0" applyNumberFormat="1" applyFont="1" applyFill="1" applyBorder="1" applyAlignment="1">
      <x:alignment horizontal="left" vertical="center"/>
    </x:xf>
    <x:xf numFmtId="0" fontId="15" fillId="0" borderId="0" xfId="0" applyNumberFormat="1" applyFont="1" applyFill="1" applyBorder="1"/>
    <x:xf numFmtId="0" fontId="16" fillId="8" borderId="26" xfId="0" applyNumberFormat="1" applyFont="1" applyFill="1" applyBorder="1" applyAlignment="1">
      <x:alignment horizontal="center" vertical="center"/>
    </x:xf>
    <x:xf numFmtId="0" fontId="16" fillId="8" borderId="27" xfId="0" applyNumberFormat="1" applyFont="1" applyFill="1" applyBorder="1" applyAlignment="1">
      <x:alignment horizontal="center" vertical="center"/>
    </x:xf>
    <x:xf numFmtId="0" fontId="16" fillId="8" borderId="28" xfId="0" applyNumberFormat="1" applyFont="1" applyFill="1" applyBorder="1" applyAlignment="1">
      <x:alignment horizontal="center" vertical="center"/>
    </x:xf>
    <x:xf numFmtId="0" fontId="16" fillId="9" borderId="26" xfId="0" applyNumberFormat="1" applyFont="1" applyFill="1" applyBorder="1" applyAlignment="1">
      <x:alignment horizontal="center" vertical="center"/>
    </x:xf>
    <x:xf numFmtId="0" fontId="16" fillId="9" borderId="27" xfId="0" applyNumberFormat="1" applyFont="1" applyFill="1" applyBorder="1" applyAlignment="1">
      <x:alignment horizontal="center" vertical="center"/>
    </x:xf>
    <x:xf numFmtId="0" fontId="16" fillId="9" borderId="28" xfId="0" applyNumberFormat="1" applyFont="1" applyFill="1" applyBorder="1" applyAlignment="1">
      <x:alignment horizontal="center" vertical="center"/>
    </x:xf>
    <x:xf numFmtId="0" fontId="16" fillId="10" borderId="26" xfId="0" applyNumberFormat="1" applyFont="1" applyFill="1" applyBorder="1" applyAlignment="1">
      <x:alignment horizontal="center" vertical="center"/>
    </x:xf>
    <x:xf numFmtId="0" fontId="16" fillId="10" borderId="27" xfId="0" applyNumberFormat="1" applyFont="1" applyFill="1" applyBorder="1" applyAlignment="1">
      <x:alignment horizontal="center" vertical="center"/>
    </x:xf>
    <x:xf numFmtId="0" fontId="16" fillId="10" borderId="28" xfId="0" applyNumberFormat="1" applyFont="1" applyFill="1" applyBorder="1" applyAlignment="1">
      <x:alignment horizontal="center" vertical="center"/>
    </x:xf>
    <x:xf numFmtId="0" fontId="16" fillId="11" borderId="26" xfId="0" applyNumberFormat="1" applyFont="1" applyFill="1" applyBorder="1" applyAlignment="1">
      <x:alignment horizontal="center" vertical="center"/>
    </x:xf>
    <x:xf numFmtId="0" fontId="16" fillId="11" borderId="28" xfId="0" applyNumberFormat="1" applyFont="1" applyFill="1" applyBorder="1" applyAlignment="1">
      <x:alignment horizontal="center" vertical="center"/>
    </x:xf>
    <x:xf numFmtId="201" fontId="17" fillId="8" borderId="26" xfId="0" applyNumberFormat="1" applyFont="1" applyFill="1" applyBorder="1" applyAlignment="1">
      <x:alignment horizontal="center" vertical="center"/>
    </x:xf>
    <x:xf numFmtId="0" fontId="17" fillId="8" borderId="27" xfId="0" applyNumberFormat="1" applyFont="1" applyFill="1" applyBorder="1" applyAlignment="1">
      <x:alignment horizontal="center" vertical="center"/>
    </x:xf>
    <x:xf numFmtId="0" fontId="17" fillId="8" borderId="28" xfId="0" applyNumberFormat="1" applyFont="1" applyFill="1" applyBorder="1" applyAlignment="1">
      <x:alignment horizontal="center" vertical="center"/>
    </x:xf>
    <x:xf numFmtId="203" fontId="17" fillId="9" borderId="26" xfId="0" applyNumberFormat="1" applyFont="1" applyFill="1" applyBorder="1" applyAlignment="1">
      <x:alignment horizontal="center" vertical="center"/>
    </x:xf>
    <x:xf numFmtId="0" fontId="17" fillId="9" borderId="27" xfId="0" applyNumberFormat="1" applyFont="1" applyFill="1" applyBorder="1" applyAlignment="1">
      <x:alignment horizontal="center" vertical="center"/>
    </x:xf>
    <x:xf numFmtId="0" fontId="17" fillId="9" borderId="28" xfId="0" applyNumberFormat="1" applyFont="1" applyFill="1" applyBorder="1" applyAlignment="1">
      <x:alignment horizontal="center" vertical="center"/>
    </x:xf>
    <x:xf numFmtId="201" fontId="17" fillId="10" borderId="26" xfId="0" applyNumberFormat="1" applyFont="1" applyFill="1" applyBorder="1" applyAlignment="1">
      <x:alignment horizontal="center" vertical="center"/>
    </x:xf>
    <x:xf numFmtId="0" fontId="17" fillId="10" borderId="27" xfId="0" applyNumberFormat="1" applyFont="1" applyFill="1" applyBorder="1" applyAlignment="1">
      <x:alignment horizontal="center" vertical="center"/>
    </x:xf>
    <x:xf numFmtId="0" fontId="17" fillId="10" borderId="28" xfId="0" applyNumberFormat="1" applyFont="1" applyFill="1" applyBorder="1" applyAlignment="1">
      <x:alignment horizontal="center" vertical="center"/>
    </x:xf>
    <x:xf numFmtId="202" fontId="17" fillId="11" borderId="26" xfId="0" applyNumberFormat="1" applyFont="1" applyFill="1" applyBorder="1" applyAlignment="1">
      <x:alignment horizontal="center" vertical="center"/>
    </x:xf>
    <x:xf numFmtId="0" fontId="17" fillId="11" borderId="28" xfId="0" applyNumberFormat="1" applyFont="1" applyFill="1" applyBorder="1" applyAlignment="1">
      <x:alignment horizontal="center" vertical="center"/>
    </x:xf>
    <x:xf numFmtId="0" fontId="17" fillId="8" borderId="29" xfId="0" applyNumberFormat="1" applyFont="1" applyFill="1" applyBorder="1" applyAlignment="1">
      <x:alignment horizontal="center" vertical="center"/>
    </x:xf>
    <x:xf numFmtId="0" fontId="17" fillId="8" xfId="0" applyNumberFormat="1" applyFont="1" applyFill="1" applyBorder="0" applyAlignment="1">
      <x:alignment horizontal="center" vertical="center"/>
    </x:xf>
    <x:xf numFmtId="0" fontId="17" fillId="8" borderId="30" xfId="0" applyNumberFormat="1" applyFont="1" applyFill="1" applyBorder="1" applyAlignment="1">
      <x:alignment horizontal="center" vertical="center"/>
    </x:xf>
    <x:xf numFmtId="0" fontId="17" fillId="9" borderId="29" xfId="0" applyNumberFormat="1" applyFont="1" applyFill="1" applyBorder="1" applyAlignment="1">
      <x:alignment horizontal="center" vertical="center"/>
    </x:xf>
    <x:xf numFmtId="0" fontId="17" fillId="9" xfId="0" applyNumberFormat="1" applyFont="1" applyFill="1" applyBorder="0" applyAlignment="1">
      <x:alignment horizontal="center" vertical="center"/>
    </x:xf>
    <x:xf numFmtId="0" fontId="17" fillId="9" borderId="30" xfId="0" applyNumberFormat="1" applyFont="1" applyFill="1" applyBorder="1" applyAlignment="1">
      <x:alignment horizontal="center" vertical="center"/>
    </x:xf>
    <x:xf numFmtId="0" fontId="17" fillId="10" borderId="29" xfId="0" applyNumberFormat="1" applyFont="1" applyFill="1" applyBorder="1" applyAlignment="1">
      <x:alignment horizontal="center" vertical="center"/>
    </x:xf>
    <x:xf numFmtId="0" fontId="17" fillId="10" xfId="0" applyNumberFormat="1" applyFont="1" applyFill="1" applyBorder="0" applyAlignment="1">
      <x:alignment horizontal="center" vertical="center"/>
    </x:xf>
    <x:xf numFmtId="0" fontId="17" fillId="10" borderId="30" xfId="0" applyNumberFormat="1" applyFont="1" applyFill="1" applyBorder="1" applyAlignment="1">
      <x:alignment horizontal="center" vertical="center"/>
    </x:xf>
    <x:xf numFmtId="0" fontId="17" fillId="11" borderId="29" xfId="0" applyNumberFormat="1" applyFont="1" applyFill="1" applyBorder="1" applyAlignment="1">
      <x:alignment horizontal="center" vertical="center"/>
    </x:xf>
    <x:xf numFmtId="0" fontId="17" fillId="11" borderId="30" xfId="0" applyNumberFormat="1" applyFont="1" applyFill="1" applyBorder="1" applyAlignment="1">
      <x:alignment horizontal="center" vertical="center"/>
    </x:xf>
    <x:xf numFmtId="0" fontId="17" fillId="8" borderId="31" xfId="0" applyNumberFormat="1" applyFont="1" applyFill="1" applyBorder="1" applyAlignment="1">
      <x:alignment horizontal="center" vertical="center"/>
    </x:xf>
    <x:xf numFmtId="0" fontId="17" fillId="8" borderId="32" xfId="0" applyNumberFormat="1" applyFont="1" applyFill="1" applyBorder="1" applyAlignment="1">
      <x:alignment horizontal="center" vertical="center"/>
    </x:xf>
    <x:xf numFmtId="0" fontId="17" fillId="8" borderId="33" xfId="0" applyNumberFormat="1" applyFont="1" applyFill="1" applyBorder="1" applyAlignment="1">
      <x:alignment horizontal="center" vertical="center"/>
    </x:xf>
    <x:xf numFmtId="0" fontId="17" fillId="9" borderId="31" xfId="0" applyNumberFormat="1" applyFont="1" applyFill="1" applyBorder="1" applyAlignment="1">
      <x:alignment horizontal="center" vertical="center"/>
    </x:xf>
    <x:xf numFmtId="0" fontId="17" fillId="9" borderId="32" xfId="0" applyNumberFormat="1" applyFont="1" applyFill="1" applyBorder="1" applyAlignment="1">
      <x:alignment horizontal="center" vertical="center"/>
    </x:xf>
    <x:xf numFmtId="0" fontId="17" fillId="9" borderId="33" xfId="0" applyNumberFormat="1" applyFont="1" applyFill="1" applyBorder="1" applyAlignment="1">
      <x:alignment horizontal="center" vertical="center"/>
    </x:xf>
    <x:xf numFmtId="0" fontId="17" fillId="10" borderId="31" xfId="0" applyNumberFormat="1" applyFont="1" applyFill="1" applyBorder="1" applyAlignment="1">
      <x:alignment horizontal="center" vertical="center"/>
    </x:xf>
    <x:xf numFmtId="0" fontId="17" fillId="10" borderId="32" xfId="0" applyNumberFormat="1" applyFont="1" applyFill="1" applyBorder="1" applyAlignment="1">
      <x:alignment horizontal="center" vertical="center"/>
    </x:xf>
    <x:xf numFmtId="0" fontId="17" fillId="10" borderId="33" xfId="0" applyNumberFormat="1" applyFont="1" applyFill="1" applyBorder="1" applyAlignment="1">
      <x:alignment horizontal="center" vertical="center"/>
    </x:xf>
    <x:xf numFmtId="0" fontId="17" fillId="11" borderId="31" xfId="0" applyNumberFormat="1" applyFont="1" applyFill="1" applyBorder="1" applyAlignment="1">
      <x:alignment horizontal="center" vertical="center"/>
    </x:xf>
    <x:xf numFmtId="0" fontId="17" fillId="11" borderId="33" xfId="0" applyNumberFormat="1" applyFont="1" applyFill="1" applyBorder="1" applyAlignment="1">
      <x:alignment horizontal="center" vertical="center"/>
    </x:xf>
    <x:xf numFmtId="0" fontId="16" fillId="12" borderId="26" xfId="0" applyNumberFormat="1" applyFont="1" applyFill="1" applyBorder="1" applyAlignment="1">
      <x:alignment horizontal="center" vertical="center"/>
    </x:xf>
    <x:xf numFmtId="0" fontId="16" fillId="12" borderId="27" xfId="0" applyNumberFormat="1" applyFont="1" applyFill="1" applyBorder="1" applyAlignment="1">
      <x:alignment horizontal="center" vertical="center"/>
    </x:xf>
    <x:xf numFmtId="0" fontId="16" fillId="12" borderId="28" xfId="0" applyNumberFormat="1" applyFont="1" applyFill="1" applyBorder="1" applyAlignment="1">
      <x:alignment horizontal="center" vertical="center"/>
    </x:xf>
    <x:xf numFmtId="0" fontId="16" fillId="13" borderId="26" xfId="0" applyNumberFormat="1" applyFont="1" applyFill="1" applyBorder="1" applyAlignment="1">
      <x:alignment horizontal="center" vertical="center"/>
    </x:xf>
    <x:xf numFmtId="0" fontId="16" fillId="13" borderId="27" xfId="0" applyNumberFormat="1" applyFont="1" applyFill="1" applyBorder="1" applyAlignment="1">
      <x:alignment horizontal="center" vertical="center"/>
    </x:xf>
    <x:xf numFmtId="0" fontId="16" fillId="13" borderId="28" xfId="0" applyNumberFormat="1" applyFont="1" applyFill="1" applyBorder="1" applyAlignment="1">
      <x:alignment horizontal="center" vertical="center"/>
    </x:xf>
    <x:xf numFmtId="0" fontId="16" fillId="14" borderId="26" xfId="0" applyNumberFormat="1" applyFont="1" applyFill="1" applyBorder="1" applyAlignment="1">
      <x:alignment horizontal="center" vertical="center"/>
    </x:xf>
    <x:xf numFmtId="0" fontId="16" fillId="14" borderId="28" xfId="0" applyNumberFormat="1" applyFont="1" applyFill="1" applyBorder="1" applyAlignment="1">
      <x:alignment horizontal="center" vertical="center"/>
    </x:xf>
    <x:xf numFmtId="201" fontId="17" fillId="12" borderId="26" xfId="0" applyNumberFormat="1" applyFont="1" applyFill="1" applyBorder="1" applyAlignment="1">
      <x:alignment horizontal="center" vertical="center"/>
    </x:xf>
    <x:xf numFmtId="0" fontId="17" fillId="12" borderId="27" xfId="0" applyNumberFormat="1" applyFont="1" applyFill="1" applyBorder="1" applyAlignment="1">
      <x:alignment horizontal="center" vertical="center"/>
    </x:xf>
    <x:xf numFmtId="0" fontId="17" fillId="12" borderId="28" xfId="0" applyNumberFormat="1" applyFont="1" applyFill="1" applyBorder="1" applyAlignment="1">
      <x:alignment horizontal="center" vertical="center"/>
    </x:xf>
    <x:xf numFmtId="204" fontId="17" fillId="12" borderId="26" xfId="0" applyNumberFormat="1" applyFont="1" applyFill="1" applyBorder="1" applyAlignment="1">
      <x:alignment horizontal="center" vertical="center"/>
    </x:xf>
    <x:xf numFmtId="201" fontId="17" fillId="13" borderId="26" xfId="0" applyNumberFormat="1" applyFont="1" applyFill="1" applyBorder="1" applyAlignment="1">
      <x:alignment horizontal="center" vertical="center"/>
    </x:xf>
    <x:xf numFmtId="0" fontId="17" fillId="13" borderId="27" xfId="0" applyNumberFormat="1" applyFont="1" applyFill="1" applyBorder="1" applyAlignment="1">
      <x:alignment horizontal="center" vertical="center"/>
    </x:xf>
    <x:xf numFmtId="0" fontId="17" fillId="13" borderId="28" xfId="0" applyNumberFormat="1" applyFont="1" applyFill="1" applyBorder="1" applyAlignment="1">
      <x:alignment horizontal="center" vertical="center"/>
    </x:xf>
    <x:xf numFmtId="201" fontId="17" fillId="14" borderId="26" xfId="0" applyNumberFormat="1" applyFont="1" applyFill="1" applyBorder="1" applyAlignment="1">
      <x:alignment horizontal="center" vertical="center"/>
    </x:xf>
    <x:xf numFmtId="0" fontId="17" fillId="14" borderId="28" xfId="0" applyNumberFormat="1" applyFont="1" applyFill="1" applyBorder="1" applyAlignment="1">
      <x:alignment horizontal="center" vertical="center"/>
    </x:xf>
    <x:xf numFmtId="0" fontId="17" fillId="12" borderId="29" xfId="0" applyNumberFormat="1" applyFont="1" applyFill="1" applyBorder="1" applyAlignment="1">
      <x:alignment horizontal="center" vertical="center"/>
    </x:xf>
    <x:xf numFmtId="0" fontId="17" fillId="12" xfId="0" applyNumberFormat="1" applyFont="1" applyFill="1" applyBorder="0" applyAlignment="1">
      <x:alignment horizontal="center" vertical="center"/>
    </x:xf>
    <x:xf numFmtId="0" fontId="17" fillId="12" borderId="30" xfId="0" applyNumberFormat="1" applyFont="1" applyFill="1" applyBorder="1" applyAlignment="1">
      <x:alignment horizontal="center" vertical="center"/>
    </x:xf>
    <x:xf numFmtId="0" fontId="17" fillId="13" borderId="29" xfId="0" applyNumberFormat="1" applyFont="1" applyFill="1" applyBorder="1" applyAlignment="1">
      <x:alignment horizontal="center" vertical="center"/>
    </x:xf>
    <x:xf numFmtId="0" fontId="17" fillId="13" xfId="0" applyNumberFormat="1" applyFont="1" applyFill="1" applyBorder="0" applyAlignment="1">
      <x:alignment horizontal="center" vertical="center"/>
    </x:xf>
    <x:xf numFmtId="0" fontId="17" fillId="13" borderId="30" xfId="0" applyNumberFormat="1" applyFont="1" applyFill="1" applyBorder="1" applyAlignment="1">
      <x:alignment horizontal="center" vertical="center"/>
    </x:xf>
    <x:xf numFmtId="0" fontId="17" fillId="14" borderId="29" xfId="0" applyNumberFormat="1" applyFont="1" applyFill="1" applyBorder="1" applyAlignment="1">
      <x:alignment horizontal="center" vertical="center"/>
    </x:xf>
    <x:xf numFmtId="0" fontId="17" fillId="14" borderId="30" xfId="0" applyNumberFormat="1" applyFont="1" applyFill="1" applyBorder="1" applyAlignment="1">
      <x:alignment horizontal="center" vertical="center"/>
    </x:xf>
    <x:xf numFmtId="0" fontId="17" fillId="12" borderId="31" xfId="0" applyNumberFormat="1" applyFont="1" applyFill="1" applyBorder="1" applyAlignment="1">
      <x:alignment horizontal="center" vertical="center"/>
    </x:xf>
    <x:xf numFmtId="0" fontId="17" fillId="12" borderId="32" xfId="0" applyNumberFormat="1" applyFont="1" applyFill="1" applyBorder="1" applyAlignment="1">
      <x:alignment horizontal="center" vertical="center"/>
    </x:xf>
    <x:xf numFmtId="0" fontId="17" fillId="12" borderId="33" xfId="0" applyNumberFormat="1" applyFont="1" applyFill="1" applyBorder="1" applyAlignment="1">
      <x:alignment horizontal="center" vertical="center"/>
    </x:xf>
    <x:xf numFmtId="0" fontId="17" fillId="13" borderId="31" xfId="0" applyNumberFormat="1" applyFont="1" applyFill="1" applyBorder="1" applyAlignment="1">
      <x:alignment horizontal="center" vertical="center"/>
    </x:xf>
    <x:xf numFmtId="0" fontId="17" fillId="13" borderId="32" xfId="0" applyNumberFormat="1" applyFont="1" applyFill="1" applyBorder="1" applyAlignment="1">
      <x:alignment horizontal="center" vertical="center"/>
    </x:xf>
    <x:xf numFmtId="0" fontId="17" fillId="13" borderId="33" xfId="0" applyNumberFormat="1" applyFont="1" applyFill="1" applyBorder="1" applyAlignment="1">
      <x:alignment horizontal="center" vertical="center"/>
    </x:xf>
    <x:xf numFmtId="0" fontId="17" fillId="14" borderId="31" xfId="0" applyNumberFormat="1" applyFont="1" applyFill="1" applyBorder="1" applyAlignment="1">
      <x:alignment horizontal="center" vertical="center"/>
    </x:xf>
    <x:xf numFmtId="0" fontId="17" fillId="14" borderId="33" xfId="0" applyNumberFormat="1" applyFont="1" applyFill="1" applyBorder="1" applyAlignment="1">
      <x:alignment horizontal="center" vertical="center"/>
    </x:xf>
    <x:xf numFmtId="0" fontId="18" fillId="6" borderId="0" xfId="0" applyNumberFormat="1" applyFont="1" applyFill="1" applyBorder="1" applyAlignment="1">
      <x:alignment horizontal="left" vertical="center"/>
    </x:xf>
    <x:xf numFmtId="0" fontId="19" fillId="15" borderId="0" xfId="0" applyNumberFormat="1" applyFont="1" applyFill="1" applyBorder="1" applyAlignment="1">
      <x:alignment horizontal="center" vertical="center"/>
    </x:xf>
    <x:xf numFmtId="0" fontId="20" fillId="11" borderId="34" xfId="0" applyNumberFormat="1" applyFont="1" applyFill="1" applyBorder="1" applyAlignment="1">
      <x:alignment wrapText="1"/>
    </x:xf>
    <x:xf numFmtId="0" fontId="19" fillId="11" borderId="35" xfId="0" applyNumberFormat="1" applyFont="1" applyFill="1" applyBorder="1" applyAlignment="1">
      <x:alignment wrapText="1"/>
    </x:xf>
    <x:xf numFmtId="202" fontId="15" fillId="11" borderId="35" xfId="0" applyNumberFormat="1" applyFont="1" applyFill="1" applyBorder="1" applyAlignment="1">
      <x:alignment wrapText="1"/>
    </x:xf>
    <x:xf numFmtId="0" fontId="15" fillId="11" borderId="35" xfId="0" applyNumberFormat="1" applyFont="1" applyFill="1" applyBorder="1" applyAlignment="1">
      <x:alignment wrapText="1"/>
    </x:xf>
    <x:xf numFmtId="0" fontId="15" fillId="11" borderId="36" xfId="0" applyNumberFormat="1" applyFont="1" applyFill="1" applyBorder="1" applyAlignment="1">
      <x:alignment wrapText="1"/>
    </x:xf>
    <x:xf numFmtId="0" fontId="20" fillId="10" borderId="37" xfId="0" applyNumberFormat="1" applyFont="1" applyFill="1" applyBorder="1" applyAlignment="1">
      <x:alignment wrapText="1"/>
    </x:xf>
    <x:xf numFmtId="0" fontId="19" fillId="10" xfId="0" applyNumberFormat="1" applyFont="1" applyFill="1" applyBorder="0" applyAlignment="1">
      <x:alignment wrapText="1"/>
    </x:xf>
    <x:xf numFmtId="0" fontId="15" fillId="10" xfId="0" applyNumberFormat="1" applyFont="1" applyFill="1" applyBorder="0" applyAlignment="1">
      <x:alignment wrapText="1"/>
    </x:xf>
    <x:xf numFmtId="0" fontId="15" fillId="10" borderId="38" xfId="0" applyNumberFormat="1" applyFont="1" applyFill="1" applyBorder="1" applyAlignment="1">
      <x:alignment wrapText="1"/>
    </x:xf>
    <x:xf numFmtId="0" fontId="20" fillId="7" borderId="39" xfId="0" applyNumberFormat="1" applyFont="1" applyFill="1" applyBorder="1" applyAlignment="1">
      <x:alignment wrapText="1"/>
    </x:xf>
    <x:xf numFmtId="0" fontId="19" fillId="7" borderId="40" xfId="0" applyNumberFormat="1" applyFont="1" applyFill="1" applyBorder="1" applyAlignment="1">
      <x:alignment wrapText="1"/>
    </x:xf>
    <x:xf numFmtId="0" fontId="15" fillId="7" borderId="40" xfId="0" applyNumberFormat="1" applyFont="1" applyFill="1" applyBorder="1" applyAlignment="1">
      <x:alignment wrapText="1"/>
    </x:xf>
    <x:xf numFmtId="0" fontId="15" fillId="7" borderId="41" xfId="0" applyNumberFormat="1" applyFont="1" applyFill="1" applyBorder="1" applyAlignment="1">
      <x:alignment wrapText="1"/>
    </x:xf>
    <x:xf numFmtId="0" fontId="21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20" fillId="11" borderId="34" xfId="0" applyNumberFormat="1" applyFont="1" applyFill="1" applyBorder="1" applyAlignment="1">
      <x:alignment vertical="center" wrapText="1"/>
    </x:xf>
    <x:xf numFmtId="0" fontId="19" fillId="11" borderId="35" xfId="0" applyNumberFormat="1" applyFont="1" applyFill="1" applyBorder="1" applyAlignment="1">
      <x:alignment vertical="center" wrapText="1"/>
    </x:xf>
    <x:xf numFmtId="202" fontId="15" fillId="11" borderId="35" xfId="0" applyNumberFormat="1" applyFont="1" applyFill="1" applyBorder="1" applyAlignment="1">
      <x:alignment vertical="center" wrapText="1"/>
    </x:xf>
    <x:xf numFmtId="0" fontId="15" fillId="11" borderId="35" xfId="0" applyNumberFormat="1" applyFont="1" applyFill="1" applyBorder="1" applyAlignment="1">
      <x:alignment vertical="center" wrapText="1"/>
    </x:xf>
    <x:xf numFmtId="0" fontId="15" fillId="11" borderId="36" xfId="0" applyNumberFormat="1" applyFont="1" applyFill="1" applyBorder="1" applyAlignment="1">
      <x:alignment vertical="center" wrapText="1"/>
    </x:xf>
    <x:xf numFmtId="0" fontId="20" fillId="10" borderId="37" xfId="0" applyNumberFormat="1" applyFont="1" applyFill="1" applyBorder="1" applyAlignment="1">
      <x:alignment vertical="center" wrapText="1"/>
    </x:xf>
    <x:xf numFmtId="0" fontId="19" fillId="10" xfId="0" applyNumberFormat="1" applyFont="1" applyFill="1" applyBorder="0" applyAlignment="1">
      <x:alignment vertical="center" wrapText="1"/>
    </x:xf>
    <x:xf numFmtId="0" fontId="15" fillId="10" xfId="0" applyNumberFormat="1" applyFont="1" applyFill="1" applyBorder="0" applyAlignment="1">
      <x:alignment vertical="center" wrapText="1"/>
    </x:xf>
    <x:xf numFmtId="0" fontId="15" fillId="10" borderId="38" xfId="0" applyNumberFormat="1" applyFont="1" applyFill="1" applyBorder="1" applyAlignment="1">
      <x:alignment vertical="center" wrapText="1"/>
    </x:xf>
    <x:xf numFmtId="0" fontId="20" fillId="7" borderId="39" xfId="0" applyNumberFormat="1" applyFont="1" applyFill="1" applyBorder="1" applyAlignment="1">
      <x:alignment vertical="center" wrapText="1"/>
    </x:xf>
    <x:xf numFmtId="0" fontId="19" fillId="7" borderId="40" xfId="0" applyNumberFormat="1" applyFont="1" applyFill="1" applyBorder="1" applyAlignment="1">
      <x:alignment vertical="center" wrapText="1"/>
    </x:xf>
    <x:xf numFmtId="0" fontId="15" fillId="7" borderId="40" xfId="0" applyNumberFormat="1" applyFont="1" applyFill="1" applyBorder="1" applyAlignment="1">
      <x:alignment vertical="center" wrapText="1"/>
    </x:xf>
    <x:xf numFmtId="0" fontId="15" fillId="7" borderId="41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center"/>
    </x:xf>
    <x:xf numFmtId="201" fontId="17" fillId="9" borderId="26" xfId="0" applyNumberFormat="1" applyFont="1" applyFill="1" applyBorder="1" applyAlignment="1">
      <x:alignment horizontal="center" vertical="center"/>
    </x:xf>
    <x:xf numFmtId="201" fontId="17" fillId="11" borderId="26" xfId="0" applyNumberFormat="1" applyFont="1" applyFill="1" applyBorder="1" applyAlignment="1">
      <x:alignment horizontal="center" vertical="center"/>
    </x:xf>
    <x:xf numFmtId="0" fontId="18" fillId="6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/>
    </x:xf>
    <x:xf numFmtId="0" fontId="15" fillId="0" borderId="34" xfId="0" applyNumberFormat="1" applyFont="1" applyFill="1" applyBorder="1"/>
    <x:xf numFmtId="0" fontId="15" fillId="0" borderId="35" xfId="0" applyNumberFormat="1" applyFont="1" applyFill="1" applyBorder="1"/>
    <x:xf numFmtId="200" fontId="15" fillId="0" borderId="35" xfId="0" applyNumberFormat="1" applyFont="1" applyFill="1" applyBorder="1"/>
    <x:xf numFmtId="202" fontId="15" fillId="0" borderId="35" xfId="0" applyNumberFormat="1" applyFont="1" applyFill="1" applyBorder="1"/>
    <x:xf numFmtId="0" fontId="15" fillId="0" borderId="36" xfId="0" applyNumberFormat="1" applyFont="1" applyFill="1" applyBorder="1"/>
    <x:xf numFmtId="0" fontId="15" fillId="0" borderId="37" xfId="0" applyNumberFormat="1" applyFont="1" applyFill="1" applyBorder="1"/>
    <x:xf numFmtId="0" fontId="15" fillId="0" xfId="0" applyNumberFormat="1" applyFont="1" applyFill="1" applyBorder="0"/>
    <x:xf numFmtId="200" fontId="15" fillId="0" xfId="0" applyNumberFormat="1" applyFont="1" applyFill="1" applyBorder="0"/>
    <x:xf numFmtId="202" fontId="15" fillId="0" xfId="0" applyNumberFormat="1" applyFont="1" applyFill="1" applyBorder="0"/>
    <x:xf numFmtId="0" fontId="15" fillId="0" borderId="38" xfId="0" applyNumberFormat="1" applyFont="1" applyFill="1" applyBorder="1"/>
    <x:xf numFmtId="0" fontId="15" fillId="0" borderId="39" xfId="0" applyNumberFormat="1" applyFont="1" applyFill="1" applyBorder="1"/>
    <x:xf numFmtId="0" fontId="15" fillId="0" borderId="40" xfId="0" applyNumberFormat="1" applyFont="1" applyFill="1" applyBorder="1"/>
    <x:xf numFmtId="200" fontId="15" fillId="0" borderId="40" xfId="0" applyNumberFormat="1" applyFont="1" applyFill="1" applyBorder="1"/>
    <x:xf numFmtId="202" fontId="15" fillId="0" borderId="40" xfId="0" applyNumberFormat="1" applyFont="1" applyFill="1" applyBorder="1"/>
    <x:xf numFmtId="0" fontId="15" fillId="0" borderId="41" xfId="0" applyNumberFormat="1" applyFont="1" applyFill="1" applyBorder="1"/>
    <x:xf numFmtId="0" fontId="18" fillId="6" borderId="0" xfId="0" applyNumberFormat="1" applyFont="1" applyFill="1" applyBorder="1" applyAlignment="1">
      <x:alignment vertical="center"/>
    </x:xf>
    <x:xf numFmtId="0" fontId="18" fillId="16" borderId="0" xfId="0" applyNumberFormat="1" applyFont="1" applyFill="1" applyBorder="1" applyAlignment="1">
      <x:alignment horizontal="center" vertical="center"/>
    </x:xf>
    <x:xf numFmtId="0" fontId="15" fillId="0" borderId="34" xfId="0" applyNumberFormat="1" applyFont="1" applyFill="1" applyBorder="1" applyAlignment="1">
      <x:alignment vertical="center"/>
    </x:xf>
    <x:xf numFmtId="0" fontId="15" fillId="0" borderId="35" xfId="0" applyNumberFormat="1" applyFont="1" applyFill="1" applyBorder="1" applyAlignment="1">
      <x:alignment vertical="center"/>
    </x:xf>
    <x:xf numFmtId="200" fontId="15" fillId="0" borderId="35" xfId="0" applyNumberFormat="1" applyFont="1" applyFill="1" applyBorder="1" applyAlignment="1">
      <x:alignment vertical="center"/>
    </x:xf>
    <x:xf numFmtId="202" fontId="15" fillId="0" borderId="35" xfId="0" applyNumberFormat="1" applyFont="1" applyFill="1" applyBorder="1" applyAlignment="1">
      <x:alignment vertical="center"/>
    </x:xf>
    <x:xf numFmtId="0" fontId="15" fillId="0" borderId="36" xfId="0" applyNumberFormat="1" applyFont="1" applyFill="1" applyBorder="1" applyAlignment="1">
      <x:alignment vertical="center"/>
    </x:xf>
    <x:xf numFmtId="0" fontId="15" fillId="0" borderId="37" xfId="0" applyNumberFormat="1" applyFont="1" applyFill="1" applyBorder="1" applyAlignment="1">
      <x:alignment vertical="center"/>
    </x:xf>
    <x:xf numFmtId="0" fontId="15" fillId="0" xfId="0" applyNumberFormat="1" applyFont="1" applyFill="1" applyBorder="0" applyAlignment="1">
      <x:alignment vertical="center"/>
    </x:xf>
    <x:xf numFmtId="200" fontId="15" fillId="0" xfId="0" applyNumberFormat="1" applyFont="1" applyFill="1" applyBorder="0" applyAlignment="1">
      <x:alignment vertical="center"/>
    </x:xf>
    <x:xf numFmtId="202" fontId="15" fillId="0" xfId="0" applyNumberFormat="1" applyFont="1" applyFill="1" applyBorder="0" applyAlignment="1">
      <x:alignment vertical="center"/>
    </x:xf>
    <x:xf numFmtId="0" fontId="15" fillId="0" borderId="38" xfId="0" applyNumberFormat="1" applyFont="1" applyFill="1" applyBorder="1" applyAlignment="1">
      <x:alignment vertical="center"/>
    </x:xf>
    <x:xf numFmtId="0" fontId="15" fillId="0" borderId="39" xfId="0" applyNumberFormat="1" applyFont="1" applyFill="1" applyBorder="1" applyAlignment="1">
      <x:alignment vertical="center"/>
    </x:xf>
    <x:xf numFmtId="0" fontId="15" fillId="0" borderId="40" xfId="0" applyNumberFormat="1" applyFont="1" applyFill="1" applyBorder="1" applyAlignment="1">
      <x:alignment vertical="center"/>
    </x:xf>
    <x:xf numFmtId="200" fontId="15" fillId="0" borderId="40" xfId="0" applyNumberFormat="1" applyFont="1" applyFill="1" applyBorder="1" applyAlignment="1">
      <x:alignment vertical="center"/>
    </x:xf>
    <x:xf numFmtId="202" fontId="15" fillId="0" borderId="40" xfId="0" applyNumberFormat="1" applyFont="1" applyFill="1" applyBorder="1" applyAlignment="1">
      <x:alignment vertical="center"/>
    </x:xf>
    <x:xf numFmtId="0" fontId="15" fillId="0" borderId="41" xfId="0" applyNumberFormat="1" applyFont="1" applyFill="1" applyBorder="1" applyAlignment="1">
      <x:alignment vertical="center"/>
    </x:xf>
    <x:xf numFmtId="204" fontId="17" fillId="11" borderId="26" xfId="0" applyNumberFormat="1" applyFont="1" applyFill="1" applyBorder="1" applyAlignment="1">
      <x:alignment horizontal="center" vertical="center"/>
    </x:xf>
    <x:xf numFmtId="0" fontId="18" fillId="16" borderId="34" xfId="0" applyNumberFormat="1" applyFont="1" applyFill="1" applyBorder="1" applyAlignment="1">
      <x:alignment horizontal="center"/>
    </x:xf>
    <x:xf numFmtId="0" fontId="18" fillId="16" borderId="35" xfId="0" applyNumberFormat="1" applyFont="1" applyFill="1" applyBorder="1" applyAlignment="1">
      <x:alignment horizontal="center"/>
    </x:xf>
    <x:xf numFmtId="0" fontId="18" fillId="16" borderId="36" xfId="0" applyNumberFormat="1" applyFont="1" applyFill="1" applyBorder="1" applyAlignment="1">
      <x:alignment horizontal="center"/>
    </x:xf>
    <x:xf numFmtId="200" fontId="15" fillId="0" borderId="37" xfId="0" applyNumberFormat="1" applyFont="1" applyFill="1" applyBorder="1"/>
    <x:xf numFmtId="0" fontId="15" fillId="0" borderId="38" xfId="0" applyNumberFormat="1" applyFont="1" applyFill="1" applyBorder="1" applyAlignment="1">
      <x:alignment wrapText="1"/>
    </x:xf>
    <x:xf numFmtId="200" fontId="15" fillId="0" borderId="39" xfId="0" applyNumberFormat="1" applyFont="1" applyFill="1" applyBorder="1"/>
    <x:xf numFmtId="0" fontId="15" fillId="0" borderId="41" xfId="0" applyNumberFormat="1" applyFont="1" applyFill="1" applyBorder="1" applyAlignment="1">
      <x:alignment wrapText="1"/>
    </x:xf>
    <x:xf numFmtId="0" fontId="18" fillId="16" borderId="34" xfId="0" applyNumberFormat="1" applyFont="1" applyFill="1" applyBorder="1" applyAlignment="1">
      <x:alignment horizontal="center" vertical="center"/>
    </x:xf>
    <x:xf numFmtId="0" fontId="18" fillId="16" borderId="35" xfId="0" applyNumberFormat="1" applyFont="1" applyFill="1" applyBorder="1" applyAlignment="1">
      <x:alignment horizontal="center" vertical="center"/>
    </x:xf>
    <x:xf numFmtId="0" fontId="18" fillId="16" borderId="36" xfId="0" applyNumberFormat="1" applyFont="1" applyFill="1" applyBorder="1" applyAlignment="1">
      <x:alignment horizontal="center" vertical="center"/>
    </x:xf>
    <x:xf numFmtId="200" fontId="15" fillId="0" borderId="37" xfId="0" applyNumberFormat="1" applyFont="1" applyFill="1" applyBorder="1" applyAlignment="1">
      <x:alignment vertical="center"/>
    </x:xf>
    <x:xf numFmtId="0" fontId="15" fillId="0" borderId="38" xfId="0" applyNumberFormat="1" applyFont="1" applyFill="1" applyBorder="1" applyAlignment="1">
      <x:alignment vertical="center" wrapText="1"/>
    </x:xf>
    <x:xf numFmtId="200" fontId="15" fillId="0" borderId="39" xfId="0" applyNumberFormat="1" applyFont="1" applyFill="1" applyBorder="1" applyAlignment="1">
      <x:alignment vertical="center"/>
    </x:xf>
    <x:xf numFmtId="0" fontId="15" fillId="0" borderId="41" xfId="0" applyNumberFormat="1" applyFont="1" applyFill="1" applyBorder="1" applyAlignment="1">
      <x:alignment vertical="center" wrapText="1"/>
    </x:xf>
    <x:xf numFmtId="0" fontId="16" fillId="11" borderId="27" xfId="0" applyNumberFormat="1" applyFont="1" applyFill="1" applyBorder="1" applyAlignment="1">
      <x:alignment horizontal="center" vertical="center"/>
    </x:xf>
    <x:xf numFmtId="0" fontId="17" fillId="11" borderId="27" xfId="0" applyNumberFormat="1" applyFont="1" applyFill="1" applyBorder="1" applyAlignment="1">
      <x:alignment horizontal="center" vertical="center"/>
    </x:xf>
    <x:xf numFmtId="0" fontId="17" fillId="11" xfId="0" applyNumberFormat="1" applyFont="1" applyFill="1" applyBorder="0" applyAlignment="1">
      <x:alignment horizontal="center" vertical="center"/>
    </x:xf>
    <x:xf numFmtId="0" fontId="17" fillId="11" borderId="32" xfId="0" applyNumberFormat="1" applyFont="1" applyFill="1" applyBorder="1" applyAlignment="1">
      <x:alignment horizontal="center" vertical="center"/>
    </x:xf>
    <x:xf numFmtId="0" fontId="18" fillId="16" borderId="34" xfId="0" applyNumberFormat="1" applyFont="1" applyFill="1" applyBorder="1" applyAlignment="1">
      <x:alignment horizontal="center" wrapText="1"/>
    </x:xf>
    <x:xf numFmtId="0" fontId="18" fillId="16" borderId="35" xfId="0" applyNumberFormat="1" applyFont="1" applyFill="1" applyBorder="1" applyAlignment="1">
      <x:alignment horizontal="center" wrapText="1"/>
    </x:xf>
    <x:xf numFmtId="0" fontId="18" fillId="16" borderId="36" xfId="0" applyNumberFormat="1" applyFont="1" applyFill="1" applyBorder="1" applyAlignment="1">
      <x:alignment horizontal="center" wrapText="1"/>
    </x:xf>
    <x:xf numFmtId="200" fontId="15" fillId="0" borderId="37" xfId="0" applyNumberFormat="1" applyFont="1" applyFill="1" applyBorder="1" applyAlignment="1">
      <x:alignment wrapText="1"/>
    </x:xf>
    <x:xf numFmtId="0" fontId="15" fillId="0" xfId="0" applyNumberFormat="1" applyFont="1" applyFill="1" applyBorder="0" applyAlignment="1">
      <x:alignment wrapText="1"/>
    </x:xf>
    <x:xf numFmtId="200" fontId="15" fillId="0" borderId="39" xfId="0" applyNumberFormat="1" applyFont="1" applyFill="1" applyBorder="1" applyAlignment="1">
      <x:alignment wrapText="1"/>
    </x:xf>
    <x:xf numFmtId="0" fontId="15" fillId="0" borderId="40" xfId="0" applyNumberFormat="1" applyFont="1" applyFill="1" applyBorder="1" applyAlignment="1">
      <x:alignment wrapText="1"/>
    </x:xf>
    <x:xf numFmtId="0" fontId="18" fillId="16" borderId="34" xfId="0" applyNumberFormat="1" applyFont="1" applyFill="1" applyBorder="1" applyAlignment="1">
      <x:alignment horizontal="center" vertical="center" wrapText="1"/>
    </x:xf>
    <x:xf numFmtId="0" fontId="18" fillId="16" borderId="35" xfId="0" applyNumberFormat="1" applyFont="1" applyFill="1" applyBorder="1" applyAlignment="1">
      <x:alignment horizontal="center" vertical="center" wrapText="1"/>
    </x:xf>
    <x:xf numFmtId="0" fontId="18" fillId="16" borderId="36" xfId="0" applyNumberFormat="1" applyFont="1" applyFill="1" applyBorder="1" applyAlignment="1">
      <x:alignment horizontal="center" vertical="center" wrapText="1"/>
    </x:xf>
    <x:xf numFmtId="200" fontId="15" fillId="0" borderId="37" xfId="0" applyNumberFormat="1" applyFont="1" applyFill="1" applyBorder="1" applyAlignment="1">
      <x:alignment vertical="center" wrapText="1"/>
    </x:xf>
    <x:xf numFmtId="0" fontId="15" fillId="0" xfId="0" applyNumberFormat="1" applyFont="1" applyFill="1" applyBorder="0" applyAlignment="1">
      <x:alignment vertical="center" wrapText="1"/>
    </x:xf>
    <x:xf numFmtId="200" fontId="15" fillId="0" borderId="39" xfId="0" applyNumberFormat="1" applyFont="1" applyFill="1" applyBorder="1" applyAlignment="1">
      <x:alignment vertical="center" wrapText="1"/>
    </x:xf>
    <x:xf numFmtId="0" fontId="15" fillId="0" borderId="40" xfId="0" applyNumberFormat="1" applyFont="1" applyFill="1" applyBorder="1" applyAlignment="1">
      <x:alignment vertical="center" wrapText="1"/>
    </x:xf>
    <x:xf numFmtId="0" fontId="16" fillId="14" borderId="27" xfId="0" applyNumberFormat="1" applyFont="1" applyFill="1" applyBorder="1" applyAlignment="1">
      <x:alignment horizontal="center" vertical="center"/>
    </x:xf>
    <x:xf numFmtId="0" fontId="17" fillId="14" borderId="27" xfId="0" applyNumberFormat="1" applyFont="1" applyFill="1" applyBorder="1" applyAlignment="1">
      <x:alignment horizontal="center" vertical="center"/>
    </x:xf>
    <x:xf numFmtId="0" fontId="17" fillId="14" xfId="0" applyNumberFormat="1" applyFont="1" applyFill="1" applyBorder="0" applyAlignment="1">
      <x:alignment horizontal="center" vertical="center"/>
    </x:xf>
    <x:xf numFmtId="0" fontId="17" fillId="14" borderId="32" xfId="0" applyNumberFormat="1" applyFont="1" applyFill="1" applyBorder="1" applyAlignment="1">
      <x:alignment horizontal="center" vertical="center"/>
    </x:xf>
    <x:xf numFmtId="0" fontId="15" fillId="0" borderId="37" xfId="0" applyNumberFormat="1" applyFont="1" applyFill="1" applyBorder="1" applyAlignment="1">
      <x:alignment wrapText="1"/>
    </x:xf>
    <x:xf numFmtId="0" fontId="15" fillId="0" borderId="39" xfId="0" applyNumberFormat="1" applyFont="1" applyFill="1" applyBorder="1" applyAlignment="1">
      <x:alignment wrapText="1"/>
    </x:xf>
    <x:xf numFmtId="0" fontId="15" fillId="0" borderId="37" xfId="0" applyNumberFormat="1" applyFont="1" applyFill="1" applyBorder="1" applyAlignment="1">
      <x:alignment vertical="center" wrapText="1"/>
    </x:xf>
    <x:xf numFmtId="0" fontId="15" fillId="0" borderId="39" xfId="0" applyNumberFormat="1" applyFont="1" applyFill="1" applyBorder="1" applyAlignment="1">
      <x:alignment vertical="center" wrapText="1"/>
    </x:xf>
  </x:cellXfs>
  <x:cellStyles count="2">
    <x:cellStyle name="Normal" xfId="0"/>
    <x:cellStyle name="Normal 2 2 2 3" xfId="1"/>
  </x:cellStyles>
  <x:dxfs count="13">
    <x:dxf>
      <x:font>
        <x:color rgb="FFC62828"/>
      </x:font>
      <x:fill>
        <x:patternFill>
          <x:bgColor rgb="FFFEE2E2"/>
        </x:patternFill>
      </x:fill>
    </x:dxf>
    <x:dxf>
      <x:font>
        <x:color rgb="FFF59E0B"/>
      </x:font>
      <x:fill>
        <x:patternFill>
          <x:bgColor rgb="FFFEF3C7"/>
        </x:patternFill>
      </x:fill>
    </x:dxf>
    <x:dxf>
      <x:font>
        <x:color rgb="FF2E7D32"/>
      </x:font>
      <x:fill>
        <x:patternFill>
          <x:bgColor rgb="FFDCFCE7"/>
        </x:patternFill>
      </x:fill>
    </x:dxf>
    <x:dxf>
      <x:font>
        <x:color rgb="FFC62828"/>
      </x:font>
      <x:fill>
        <x:patternFill>
          <x:bgColor rgb="FFFEE2E2"/>
        </x:patternFill>
      </x:fill>
    </x:dxf>
    <x:dxf>
      <x:font>
        <x:color rgb="FFF59E0B"/>
      </x:font>
      <x:fill>
        <x:patternFill>
          <x:bgColor rgb="FFFEF3C7"/>
        </x:patternFill>
      </x:fill>
    </x:dxf>
    <x:dxf>
      <x:font>
        <x:color rgb="FF2E7D32"/>
      </x:font>
      <x:fill>
        <x:patternFill>
          <x:bgColor rgb="FFDCFCE7"/>
        </x:patternFill>
      </x:fill>
    </x:dxf>
    <x:dxf>
      <x:numFmt numFmtId="0" formatCode="General"/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numFmt numFmtId="166" formatCode="[$-409]d\-mmm\-yy;@"/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numFmt numFmtId="21" formatCode="d\-mmm"/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b1e160342e4f6e" /><Relationship Type="http://schemas.openxmlformats.org/officeDocument/2006/relationships/theme" Target="/xl/theme/theme1.xml" Id="Ra1e5af45977442db" /><Relationship Type="http://schemas.openxmlformats.org/officeDocument/2006/relationships/sharedStrings" Target="/xl/sharedStrings.xml" Id="R35d7d8bad91a4677" /><Relationship Type="http://schemas.openxmlformats.org/officeDocument/2006/relationships/worksheet" Target="/xl/worksheets/sheet1.xml" Id="R24bf332335954568" /><Relationship Type="http://schemas.openxmlformats.org/officeDocument/2006/relationships/worksheet" Target="/xl/worksheets/sheet2.xml" Id="R5d7be23655354f3b" /><Relationship Type="http://schemas.openxmlformats.org/officeDocument/2006/relationships/worksheet" Target="/xl/worksheets/sheet3.xml" Id="Rbe50bb2364c245a7" /><Relationship Type="http://schemas.openxmlformats.org/officeDocument/2006/relationships/worksheet" Target="/xl/worksheets/sheet4.xml" Id="R5eb14815f6be472f" /><Relationship Type="http://schemas.openxmlformats.org/officeDocument/2006/relationships/worksheet" Target="/xl/worksheets/sheet5.xml" Id="R2b33bd5fbdec4a4e" /><Relationship Type="http://schemas.openxmlformats.org/officeDocument/2006/relationships/worksheet" Target="/xl/worksheets/sheet6.xml" Id="R8e323f0ae8494c67" /><Relationship Type="http://schemas.openxmlformats.org/officeDocument/2006/relationships/worksheet" Target="/xl/worksheets/sheet7.xml" Id="R86954dbde6354b8b" /><Relationship Type="http://schemas.openxmlformats.org/officeDocument/2006/relationships/worksheet" Target="/xl/worksheets/sheet8.xml" Id="R110a92eb0ae64180" /><Relationship Type="http://schemas.openxmlformats.org/officeDocument/2006/relationships/worksheet" Target="/xl/worksheets/sheet9.xml" Id="R87fe5b6c152b430d" /><Relationship Type="http://schemas.openxmlformats.org/officeDocument/2006/relationships/worksheet" Target="/xl/worksheets/sheet10.xml" Id="R1734d2e83f1541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6a8b11f8f14be7" /><Relationship Type="http://schemas.openxmlformats.org/officeDocument/2006/relationships/chart" Target="/xl/drawings/charts/chart2.xml" Id="Rad478bbe9f1c455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c936b994be345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Actual YTD vs. Annual Target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Target</c:v>
          </c:tx>
          <c:cat>
            <c:strRef>
              <c:f>'Overview'!$A$41:$A$45</c:f>
              <c:strCache>
                <c:ptCount val="0"/>
              </c:strCache>
            </c:strRef>
          </c:cat>
          <c:val>
            <c:numRef>
              <c:f>'Overview'!$B$41:$B$45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Actual YTD</c:v>
          </c:tx>
          <c:cat>
            <c:strRef>
              <c:f>'Overview'!$A$41:$A$45</c:f>
              <c:strCache>
                <c:ptCount val="0"/>
              </c:strCache>
            </c:strRef>
          </c:cat>
          <c:val>
            <c:numRef>
              <c:f>'Overview'!$C$41:$C$45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Booking Volume by Customer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Booking Volume</c:v>
          </c:tx>
          <c:cat>
            <c:strRef>
              <c:f>'Overview'!$I$41:$I$45</c:f>
              <c:strCache>
                <c:ptCount val="0"/>
              </c:strCache>
            </c:strRef>
          </c:cat>
          <c:val>
            <c:numRef>
              <c:f>'Overview'!$J$41:$J$45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Customer Target vs. Actual YTD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Start Using YVF</c:v>
          </c:tx>
          <c:cat>
            <c:strRef>
              <c:f>'Customer Adoption'!$B$13:$B$17</c:f>
              <c:strCache>
                <c:ptCount val="0"/>
              </c:strCache>
            </c:strRef>
          </c:cat>
          <c:val>
            <c:numRef>
              <c:f>'Customer Adoption'!$C$13:$C$17</c:f>
              <c:numCache>
                <c:formatCode>dd-mmm-yy</c:formatCode>
                <c:ptCount val="0"/>
              </c:numCache>
            </c:numRef>
          </c:val>
        </c:ser>
        <c:ser>
          <c:idx val="1"/>
          <c:order val="1"/>
          <c:tx>
            <c:v>Status</c:v>
          </c:tx>
          <c:cat>
            <c:strRef>
              <c:f>'Customer Adoption'!$B$13:$B$17</c:f>
              <c:strCache>
                <c:ptCount val="0"/>
              </c:strCache>
            </c:strRef>
          </c:cat>
          <c:val>
            <c:numRef>
              <c:f>'Customer Adoption'!$D$13:$D$17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Target/Year</c:v>
          </c:tx>
          <c:cat>
            <c:strRef>
              <c:f>'Customer Adoption'!$B$13:$B$17</c:f>
              <c:strCache>
                <c:ptCount val="0"/>
              </c:strCache>
            </c:strRef>
          </c:cat>
          <c:val>
            <c:numRef>
              <c:f>'Customer Adoption'!$E$13:$E$17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Actual YTD</c:v>
          </c:tx>
          <c:cat>
            <c:strRef>
              <c:f>'Customer Adoption'!$B$13:$B$17</c:f>
              <c:strCache>
                <c:ptCount val="0"/>
              </c:strCache>
            </c:strRef>
          </c:cat>
          <c:val>
            <c:numRef>
              <c:f>'Customer Adoption'!$F$13:$F$17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6a8b11f8f14be7"/>
        </a:graphicData>
      </a:graphic>
    </xdr:graphicFrame>
    <xdr:clientData/>
  </xdr:twoCellAnchor>
  <xdr:twoCellAnchor>
    <xdr:from>
      <xdr:col>8</xdr:col>
      <xdr:colOff>0</xdr:colOff>
      <xdr:row>15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478bbe9f1c455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936b994be3454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Booking" displayName="tblBooking" ref="A1:K7">
  <x:tableColumns count="11">
    <x:tableColumn id="1" name="Booking Date"/>
    <x:tableColumn id="2" name="Customer"/>
    <x:tableColumn id="3" name="Mode"/>
    <x:tableColumn id="4" name="Booking Qty"/>
    <x:tableColumn id="5" name="Processing Time (Min)"/>
    <x:tableColumn id="6" name="Status"/>
    <x:tableColumn id="7" name="System Issue"/>
    <x:tableColumn id="8" name="Week"/>
    <x:tableColumn id="9" name="Month"/>
    <x:tableColumn id="10" name="PIC"/>
    <x:tableColumn id="11" name="Remark"/>
  </x:tableColumns>
  <x:tableStyleInfo name="TableStyleMedium2" showRowStripes="1"/>
</x:table>
</file>

<file path=xl/tables/table2.xml><?xml version="1.0" encoding="utf-8"?>
<x:table xmlns:x="http://schemas.openxmlformats.org/spreadsheetml/2006/main" id="4" name="tblBooking5" displayName="tblBooking5" ref="A1:K6">
  <x:tableColumns count="11">
    <x:tableColumn id="1" name="Submit Date"/>
    <x:tableColumn id="2" name="Customer"/>
    <x:tableColumn id="3" name="Mode"/>
    <x:tableColumn id="4" name="SI Qty"/>
    <x:tableColumn id="5" name="Processing Time (Min)"/>
    <x:tableColumn id="6" name="Status"/>
    <x:tableColumn id="7" name="System Issue"/>
    <x:tableColumn id="8" name="Week"/>
    <x:tableColumn id="9" name="Month"/>
    <x:tableColumn id="10" name="PIC"/>
    <x:tableColumn id="11" name="Remark"/>
  </x:tableColumns>
  <x:tableStyleInfo name="TableStyleMedium2" showRowStripes="1"/>
</x:table>
</file>

<file path=xl/tables/table3.xml><?xml version="1.0" encoding="utf-8"?>
<x:table xmlns:x="http://schemas.openxmlformats.org/spreadsheetml/2006/main" id="2" name="tblSI" displayName="tblSI" ref="A1:F10">
  <x:tableColumns count="6">
    <x:tableColumn id="1" name="Customer"/>
    <x:tableColumn id="2" name="Customer Code"/>
    <x:tableColumn id="5" name="Start Using YVF"/>
    <x:tableColumn id="6" name="Status"/>
    <x:tableColumn id="7" name="Target Booking/Year"/>
    <x:tableColumn id="8" name="Actual Booking"/>
  </x:tableColumns>
  <x:tableStyleInfo name="TableStyleMedium2" showRowStripes="1"/>
</x:table>
</file>

<file path=xl/tables/table4.xml><?xml version="1.0" encoding="utf-8"?>
<x:table xmlns:x="http://schemas.openxmlformats.org/spreadsheetml/2006/main" id="3" name="tblIssue" displayName="tblIssue" ref="A1:E4">
  <x:tableColumns count="5">
    <x:tableColumn id="1" name="Issue ID"/>
    <x:tableColumn id="2" name="Module"/>
    <x:tableColumn id="3" name="Issue"/>
    <x:tableColumn id="4" name="Impact"/>
    <x:tableColumn id="5" name="Suggestion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d8f79840bda40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7090dabc54743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9c27646a1f47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6ed676991f042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27bd497f13274c2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2ff021cd13dc4b91" /></Relationships>
</file>

<file path=xl/worksheets/sheet1.xml><?xml version="1.0" encoding="utf-8"?>
<x:worksheet xmlns:x="http://schemas.openxmlformats.org/spreadsheetml/2006/main">
  <x:sheetFormatPr defaultColWidth="15.1796875" defaultRowHeight="14.5"/>
  <x:cols>
    <x:col min="1" max="1" width="12" style="2" customWidth="1"/>
    <x:col min="2" max="2" width="14" style="2" customWidth="1"/>
    <x:col min="3" max="3" width="10" style="2" customWidth="1"/>
    <x:col min="4" max="4" width="13" style="2" customWidth="1"/>
    <x:col min="5" max="5" width="18" style="2" customWidth="1"/>
    <x:col min="6" max="6" width="12" style="2" customWidth="1"/>
    <x:col min="7" max="7" width="14" customWidth="1"/>
    <x:col min="8" max="8" width="9" customWidth="1"/>
    <x:col min="9" max="10" width="12" customWidth="1"/>
    <x:col min="11" max="11" width="32" style="2" customWidth="1"/>
    <x:col min="12" max="12" width="15.1796875" style="2" customWidth="1"/>
    <x:col min="13" max="16384" width="15.1796875" style="2" customWidth="0"/>
  </x:cols>
  <x:sheetData>
    <x:row r="1" ht="33.5" customHeight="1">
      <x:c r="A1" s="10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10" t="s">
        <x:v>8</x:v>
      </x:c>
      <x:c r="J1" s="10" t="s">
        <x:v>9</x:v>
      </x:c>
      <x:c r="K1" s="10" t="s">
        <x:v>10</x:v>
      </x:c>
    </x:row>
    <x:row r="2" ht="23.5" customHeight="1">
      <x:c r="A2" s="8">
        <x:v>46225</x:v>
      </x:c>
      <x:c r="B2" s="5" t="s">
        <x:v>11</x:v>
      </x:c>
      <x:c r="C2" s="5" t="s">
        <x:v>12</x:v>
      </x:c>
      <x:c r="D2" s="9">
        <x:v>3</x:v>
      </x:c>
      <x:c r="E2" s="9">
        <x:v>3</x:v>
      </x:c>
      <x:c r="F2" s="5" t="s">
        <x:v>13</x:v>
      </x:c>
      <x:c r="G2" s="5" t="s">
        <x:v>14</x:v>
      </x:c>
      <x:c r="H2" s="5" t="n">
        <x:f t="shared" ref="H2:H7" si="0">WEEKNUM(A2,2)</x:f>
        <x:v>30</x:v>
      </x:c>
      <x:c r="I2" s="5" t="str">
        <x:f t="shared" ref="I2:I7" si="1">TEXT(A2,"mmm-yyyy")</x:f>
        <x:v>Jul-2026</x:v>
      </x:c>
      <x:c r="J2" s="5" t="s">
        <x:v>15</x:v>
      </x:c>
      <x:c r="K2" s="6"/>
    </x:row>
    <x:row r="3" ht="23.5" customHeight="1">
      <x:c r="A3" s="8">
        <x:v>46226</x:v>
      </x:c>
      <x:c r="B3" s="5" t="s">
        <x:v>11</x:v>
      </x:c>
      <x:c r="C3" s="5" t="s">
        <x:v>16</x:v>
      </x:c>
      <x:c r="D3" s="9">
        <x:v>1</x:v>
      </x:c>
      <x:c r="E3" s="9">
        <x:v>5</x:v>
      </x:c>
      <x:c r="F3" s="5" t="s">
        <x:v>17</x:v>
      </x:c>
      <x:c r="G3" s="5" t="s">
        <x:v>18</x:v>
      </x:c>
      <x:c r="H3" s="5">
        <x:f t="shared" si="0"/>
        <x:v>30</x:v>
      </x:c>
      <x:c r="I3" s="5" t="str">
        <x:f t="shared" si="1"/>
        <x:v>Jul-2026</x:v>
      </x:c>
      <x:c r="J3" s="5" t="s">
        <x:v>15</x:v>
      </x:c>
      <x:c r="K3" s="6" t="s">
        <x:v>19</x:v>
      </x:c>
    </x:row>
    <x:row r="4" ht="23.5" customHeight="1">
      <x:c r="A4" s="8">
        <x:v>46226</x:v>
      </x:c>
      <x:c r="B4" s="5" t="s">
        <x:v>20</x:v>
      </x:c>
      <x:c r="C4" s="5" t="s">
        <x:v>16</x:v>
      </x:c>
      <x:c r="D4" s="9">
        <x:v>3</x:v>
      </x:c>
      <x:c r="E4" s="9">
        <x:v>5</x:v>
      </x:c>
      <x:c r="F4" s="5" t="s">
        <x:v>17</x:v>
      </x:c>
      <x:c r="G4" s="5" t="s">
        <x:v>18</x:v>
      </x:c>
      <x:c r="H4" s="5">
        <x:f t="shared" si="0"/>
        <x:v>30</x:v>
      </x:c>
      <x:c r="I4" s="5" t="str">
        <x:f t="shared" si="1"/>
        <x:v>Jul-2026</x:v>
      </x:c>
      <x:c r="J4" s="5" t="s">
        <x:v>15</x:v>
      </x:c>
      <x:c r="K4" s="6" t="s">
        <x:v>19</x:v>
      </x:c>
    </x:row>
    <x:row r="5" ht="23.5" customHeight="1">
      <x:c r="A5" s="8">
        <x:v>46227</x:v>
      </x:c>
      <x:c r="B5" s="5" t="s">
        <x:v>11</x:v>
      </x:c>
      <x:c r="C5" s="5" t="s">
        <x:v>16</x:v>
      </x:c>
      <x:c r="D5" s="9">
        <x:v>8</x:v>
      </x:c>
      <x:c r="E5" s="9">
        <x:v>5</x:v>
      </x:c>
      <x:c r="F5" s="5" t="s">
        <x:v>17</x:v>
      </x:c>
      <x:c r="G5" s="5" t="s">
        <x:v>18</x:v>
      </x:c>
      <x:c r="H5" s="5">
        <x:f t="shared" si="0"/>
        <x:v>30</x:v>
      </x:c>
      <x:c r="I5" s="5" t="str">
        <x:f t="shared" si="1"/>
        <x:v>Jul-2026</x:v>
      </x:c>
      <x:c r="J5" s="5" t="s">
        <x:v>15</x:v>
      </x:c>
      <x:c r="K5" s="6" t="s">
        <x:v>19</x:v>
      </x:c>
    </x:row>
    <x:row r="6" ht="23" customHeight="1">
      <x:c r="A6" s="8">
        <x:v>46227</x:v>
      </x:c>
      <x:c r="B6" s="5" t="s">
        <x:v>20</x:v>
      </x:c>
      <x:c r="C6" s="5" t="s">
        <x:v>16</x:v>
      </x:c>
      <x:c r="D6" s="9">
        <x:v>2</x:v>
      </x:c>
      <x:c r="E6" s="9">
        <x:v>5</x:v>
      </x:c>
      <x:c r="F6" s="5" t="s">
        <x:v>17</x:v>
      </x:c>
      <x:c r="G6" s="5" t="s">
        <x:v>18</x:v>
      </x:c>
      <x:c r="H6" s="5">
        <x:f t="shared" si="0"/>
        <x:v>30</x:v>
      </x:c>
      <x:c r="I6" s="5" t="str">
        <x:f t="shared" si="1"/>
        <x:v>Jul-2026</x:v>
      </x:c>
      <x:c r="J6" s="5" t="s">
        <x:v>15</x:v>
      </x:c>
      <x:c r="K6" s="6" t="s">
        <x:v>19</x:v>
      </x:c>
    </x:row>
    <x:row r="7" ht="23" customHeight="1">
      <x:c r="A7" s="8">
        <x:v>46230</x:v>
      </x:c>
      <x:c r="B7" s="5" t="s">
        <x:v>11</x:v>
      </x:c>
      <x:c r="C7" s="5" t="s">
        <x:v>16</x:v>
      </x:c>
      <x:c r="D7" s="9">
        <x:v>3</x:v>
      </x:c>
      <x:c r="E7" s="9">
        <x:v>6.5</x:v>
      </x:c>
      <x:c r="F7" s="5" t="s">
        <x:v>17</x:v>
      </x:c>
      <x:c r="G7" s="5" t="s">
        <x:v>18</x:v>
      </x:c>
      <x:c r="H7" s="5">
        <x:f t="shared" si="0"/>
        <x:v>31</x:v>
      </x:c>
      <x:c r="I7" s="5" t="str">
        <x:f t="shared" si="1"/>
        <x:v>Jul-2026</x:v>
      </x:c>
      <x:c r="J7" s="5" t="s">
        <x:v>15</x:v>
      </x:c>
      <x:c r="K7" s="6" t="s">
        <x:v>19</x:v>
      </x:c>
    </x:row>
    <x:row r="8" ht="23.5" customHeight="1">
      <x:c r="A8" s="1"/>
      <x:c r="B8" s="1"/>
      <x:c r="C8" s="1"/>
      <x:c r="D8" s="1"/>
      <x:c r="E8" s="1"/>
      <x:c r="F8" s="1"/>
      <x:c r="G8" s="3"/>
      <x:c r="H8" s="3"/>
      <x:c r="I8" s="3"/>
      <x:c r="J8" s="3"/>
      <x:c r="K8" s="3"/>
    </x:row>
    <x:row r="9" ht="23.5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</x:row>
  </x:sheetData>
  <x:conditionalFormatting sqref="F2:F200">
    <x:cfRule type="expression" dxfId="5" priority="1">
      <x:formula>F2="Normal"</x:formula>
    </x:cfRule>
    <x:cfRule type="expression" dxfId="4" priority="2">
      <x:formula>F2="Slow"</x:formula>
    </x:cfRule>
    <x:cfRule type="expression" dxfId="3" priority="3">
      <x:formula>F2="Error"</x:formula>
    </x:cfRule>
  </x:conditionalFormatting>
  <x:dataValidations count="4">
    <x:dataValidation type="list" allowBlank="1" showInputMessage="1" showErrorMessage="1" sqref="F2:F15">
      <x:formula1>"Normal,Slow,Error"</x:formula1>
    </x:dataValidation>
    <x:dataValidation type="list" sqref="C2:C200">
      <x:formula1>"Sea,Air"</x:formula1>
    </x:dataValidation>
    <x:dataValidation type="list" sqref="F2:F200">
      <x:formula1>"Normal,Slow,Error"</x:formula1>
    </x:dataValidation>
    <x:dataValidation type="list" sqref="G2:G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8f79840bda4015"/>
  </x:tableParts>
</x:worksheet>
</file>

<file path=xl/worksheets/sheet2.xml><?xml version="1.0" encoding="utf-8"?>
<x:worksheet xmlns:x="http://schemas.openxmlformats.org/spreadsheetml/2006/main">
  <x:sheetFormatPr defaultColWidth="15.1796875" defaultRowHeight="14.5"/>
  <x:cols>
    <x:col min="1" max="1" width="12" style="2" customWidth="1"/>
    <x:col min="2" max="2" width="14" style="2" customWidth="1"/>
    <x:col min="3" max="3" width="10" style="2" customWidth="1"/>
    <x:col min="4" max="4" width="13" style="2" customWidth="1"/>
    <x:col min="5" max="5" width="18" style="2" customWidth="1"/>
    <x:col min="6" max="6" width="12" style="2" customWidth="1"/>
    <x:col min="7" max="7" width="14" customWidth="1"/>
    <x:col min="8" max="8" width="9" customWidth="1"/>
    <x:col min="9" max="10" width="12" customWidth="1"/>
    <x:col min="11" max="11" width="32" style="2" customWidth="1"/>
    <x:col min="12" max="12" width="15.1796875" style="2" customWidth="1"/>
    <x:col min="13" max="16384" width="15.1796875" style="2" customWidth="0"/>
  </x:cols>
  <x:sheetData>
    <x:row r="1" ht="33.5" customHeight="1">
      <x:c r="A1" s="10" t="s">
        <x:v>21</x:v>
      </x:c>
      <x:c r="B1" s="10" t="s">
        <x:v>1</x:v>
      </x:c>
      <x:c r="C1" s="10" t="s">
        <x:v>2</x:v>
      </x:c>
      <x:c r="D1" s="10" t="s">
        <x:v>22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10" t="s">
        <x:v>8</x:v>
      </x:c>
      <x:c r="J1" s="10" t="s">
        <x:v>9</x:v>
      </x:c>
      <x:c r="K1" s="10" t="s">
        <x:v>10</x:v>
      </x:c>
    </x:row>
    <x:row r="2" ht="23.5" customHeight="1">
      <x:c r="A2" s="8">
        <x:v>46230</x:v>
      </x:c>
      <x:c r="B2" s="5" t="s">
        <x:v>11</x:v>
      </x:c>
      <x:c r="C2" s="5" t="s">
        <x:v>12</x:v>
      </x:c>
      <x:c r="D2" s="9">
        <x:v>2</x:v>
      </x:c>
      <x:c r="E2" s="9">
        <x:v>5</x:v>
      </x:c>
      <x:c r="F2" s="5" t="s">
        <x:v>13</x:v>
      </x:c>
      <x:c r="G2" s="5" t="s">
        <x:v>14</x:v>
      </x:c>
      <x:c r="H2" s="5" t="n">
        <x:f>WEEKNUM(A2,2)</x:f>
        <x:v>31</x:v>
      </x:c>
      <x:c r="I2" s="5" t="str">
        <x:f>TEXT(A2,"mmm-yyyy")</x:f>
        <x:v>Jul-2026</x:v>
      </x:c>
      <x:c r="J2" s="5" t="s">
        <x:v>15</x:v>
      </x:c>
      <x:c r="K2" s="6"/>
    </x:row>
    <x:row r="3" ht="23.5" customHeight="1">
      <x:c r="A3" s="4"/>
      <x:c r="B3" s="5"/>
      <x:c r="C3" s="5"/>
      <x:c r="D3" s="5"/>
      <x:c r="E3" s="5"/>
      <x:c r="F3" s="5"/>
      <x:c r="G3" s="5"/>
      <x:c r="H3" s="5"/>
      <x:c r="I3" s="5"/>
      <x:c r="J3" s="5"/>
      <x:c r="K3" s="6"/>
    </x:row>
    <x:row r="4" ht="23.5" customHeight="1">
      <x:c r="A4" s="4"/>
      <x:c r="B4" s="5"/>
      <x:c r="C4" s="5"/>
      <x:c r="D4" s="5"/>
      <x:c r="E4" s="5"/>
      <x:c r="F4" s="5"/>
      <x:c r="G4" s="5"/>
      <x:c r="H4" s="5"/>
      <x:c r="I4" s="5"/>
      <x:c r="J4" s="5"/>
      <x:c r="K4" s="6"/>
    </x:row>
    <x:row r="5" ht="23.5" customHeight="1">
      <x:c r="A5" s="4"/>
      <x:c r="B5" s="5"/>
      <x:c r="C5" s="5"/>
      <x:c r="D5" s="5"/>
      <x:c r="E5" s="5"/>
      <x:c r="F5" s="5"/>
      <x:c r="G5" s="5"/>
      <x:c r="H5" s="5"/>
      <x:c r="I5" s="5"/>
      <x:c r="J5" s="5"/>
      <x:c r="K5" s="6"/>
    </x:row>
    <x:row r="6" ht="23" customHeight="1">
      <x:c r="A6" s="4"/>
      <x:c r="B6" s="5"/>
      <x:c r="C6" s="5"/>
      <x:c r="D6" s="5"/>
      <x:c r="E6" s="5"/>
      <x:c r="F6" s="5"/>
      <x:c r="G6" s="5"/>
      <x:c r="H6" s="5"/>
      <x:c r="I6" s="5"/>
      <x:c r="J6" s="5"/>
      <x:c r="K6" s="6"/>
    </x:row>
    <x:row r="7" ht="23.5" customHeight="1">
      <x:c r="A7" s="1"/>
      <x:c r="B7" s="1"/>
      <x:c r="C7" s="1"/>
      <x:c r="D7" s="1"/>
      <x:c r="E7" s="1"/>
      <x:c r="F7" s="1"/>
      <x:c r="G7" s="3"/>
      <x:c r="H7" s="3"/>
      <x:c r="I7" s="3"/>
      <x:c r="J7" s="3"/>
      <x:c r="K7" s="3"/>
    </x:row>
    <x:row r="8" ht="23.5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</x:row>
  </x:sheetData>
  <x:conditionalFormatting sqref="F2:F199">
    <x:cfRule type="expression" dxfId="2" priority="1">
      <x:formula>F2="Normal"</x:formula>
    </x:cfRule>
    <x:cfRule type="expression" dxfId="1" priority="2">
      <x:formula>F2="Slow"</x:formula>
    </x:cfRule>
    <x:cfRule type="expression" dxfId="0" priority="3">
      <x:formula>F2="Error"</x:formula>
    </x:cfRule>
  </x:conditionalFormatting>
  <x:dataValidations count="4">
    <x:dataValidation type="list" sqref="G2:G199">
      <x:formula1>"Yes,No"</x:formula1>
    </x:dataValidation>
    <x:dataValidation type="list" sqref="F2:F199">
      <x:formula1>"Normal,Slow,Error"</x:formula1>
    </x:dataValidation>
    <x:dataValidation type="list" sqref="C2:C199">
      <x:formula1>"Sea,Air"</x:formula1>
    </x:dataValidation>
    <x:dataValidation type="list" allowBlank="1" showInputMessage="1" showErrorMessage="1" sqref="F2:F14">
      <x:formula1>"Normal,Slow,Error"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090dabc54743b5"/>
  </x:tableParts>
</x:worksheet>
</file>

<file path=xl/worksheets/sheet3.xml><?xml version="1.0" encoding="utf-8"?>
<x:worksheet xmlns:x="http://schemas.openxmlformats.org/spreadsheetml/2006/main">
  <x:sheetFormatPr defaultColWidth="15.1796875" defaultRowHeight="14.5"/>
  <x:cols>
    <x:col min="1" max="1" width="43" style="2" hidden="0" customWidth="1"/>
    <x:col min="2" max="2" width="16" style="2" hidden="0" customWidth="1"/>
    <x:col min="3" max="3" width="18" style="16" hidden="0" customWidth="1"/>
    <x:col min="4" max="4" width="14" style="2" hidden="0" customWidth="1"/>
    <x:col min="5" max="5" width="20" hidden="0" customWidth="1"/>
    <x:col min="6" max="6" width="19" hidden="0" customWidth="1"/>
    <x:col min="7" max="7" width="15" style="2" hidden="0" customWidth="1"/>
    <x:col min="8" max="16384" width="15.1796875" style="2" customWidth="0"/>
    <x:col min="8" max="8" width="18" hidden="0" customWidth="1"/>
  </x:cols>
  <x:sheetData>
    <x:row r="1" ht="44" customHeight="1">
      <x:c r="A1" s="35" t="str">
        <x:v>Customer</x:v>
      </x:c>
      <x:c r="B1" s="35" t="str">
        <x:v>Customer Code</x:v>
      </x:c>
      <x:c r="C1" s="36" t="str">
        <x:v>Start Using YVF</x:v>
      </x:c>
      <x:c r="D1" s="35" t="str">
        <x:v>Status</x:v>
      </x:c>
      <x:c r="E1" s="35" t="str">
        <x:v>Target Booking/Year</x:v>
      </x:c>
      <x:c r="F1" s="35" t="str">
        <x:v>Actual Booking YTD</x:v>
      </x:c>
      <x:c r="G1" s="47" t="str">
        <x:v>Achievement %</x:v>
      </x:c>
      <x:c r="H1" s="47" t="str">
        <x:v>Actual This Month</x:v>
      </x:c>
    </x:row>
    <x:row r="2" ht="23.5" customHeight="1">
      <x:c r="A2" s="81" t="s">
        <x:v>23</x:v>
      </x:c>
      <x:c r="B2" s="82" t="s">
        <x:v>11</x:v>
      </x:c>
      <x:c r="C2" s="101">
        <x:v>46076</x:v>
      </x:c>
      <x:c r="D2" s="82" t="s">
        <x:v>24</x:v>
      </x:c>
      <x:c r="E2" s="113">
        <x:v>400</x:v>
      </x:c>
      <x:c r="F2" s="113" t="n">
        <x:f>SUMIFS(Data_Booking!$D:$D,Data_Booking!$B:$B,$B2,Data_Booking!$A:$A,"&gt;="&amp;DATE(YEAR(TODAY()),1,1),Data_Booking!$A:$A,"&lt;="&amp;TODAY())</x:f>
        <x:v>15</x:v>
      </x:c>
      <x:c r="G2" s="135" t="n">
        <x:f>IFERROR(F2/E2,0)</x:f>
        <x:v>0.0375</x:v>
      </x:c>
      <x:c r="H2" s="127" t="n">
        <x:f>SUMIFS(Data_Booking!$D:$D,Data_Booking!$B:$B,$B2,Data_Booking!$A:$A,"&gt;="&amp;EOMONTH(TODAY(),-1)+1,Data_Booking!$A:$A,"&lt;="&amp;EOMONTH(TODAY(),0))</x:f>
        <x:v>15</x:v>
      </x:c>
    </x:row>
    <x:row r="3" ht="23.5" customHeight="1">
      <x:c r="A3" s="62" t="s">
        <x:v>25</x:v>
      </x:c>
      <x:c r="B3" s="50" t="s">
        <x:v>20</x:v>
      </x:c>
      <x:c r="C3" s="102">
        <x:v>46226</x:v>
      </x:c>
      <x:c r="D3" s="50" t="s">
        <x:v>24</x:v>
      </x:c>
      <x:c r="E3" s="114">
        <x:v>50</x:v>
      </x:c>
      <x:c r="F3" s="114" t="n">
        <x:f>SUMIFS(Data_Booking!$D:$D,Data_Booking!$B:$B,$B3,Data_Booking!$A:$A,"&gt;="&amp;DATE(YEAR(TODAY()),1,1),Data_Booking!$A:$A,"&lt;="&amp;TODAY())</x:f>
        <x:v>5</x:v>
      </x:c>
      <x:c r="G3" s="136" t="n">
        <x:f>IFERROR(F3/E3,0)</x:f>
        <x:v>0.1</x:v>
      </x:c>
      <x:c r="H3" s="128" t="n">
        <x:f>SUMIFS(Data_Booking!$D:$D,Data_Booking!$B:$B,$B3,Data_Booking!$A:$A,"&gt;="&amp;EOMONTH(TODAY(),-1)+1,Data_Booking!$A:$A,"&lt;="&amp;EOMONTH(TODAY(),0))</x:f>
        <x:v>5</x:v>
      </x:c>
    </x:row>
    <x:row r="4" ht="23.5" customHeight="1">
      <x:c r="A4" s="91" t="s">
        <x:v>26</x:v>
      </x:c>
      <x:c r="B4" s="92" t="s">
        <x:v>27</x:v>
      </x:c>
      <x:c r="C4" s="103"/>
      <x:c r="D4" s="92" t="s">
        <x:v>24</x:v>
      </x:c>
      <x:c r="E4" s="115">
        <x:v>0</x:v>
      </x:c>
      <x:c r="F4" s="115" t="n">
        <x:f>SUMIFS(Data_Booking!$D:$D,Data_Booking!$B:$B,$B4,Data_Booking!$A:$A,"&gt;="&amp;DATE(YEAR(TODAY()),1,1),Data_Booking!$A:$A,"&lt;="&amp;TODAY())</x:f>
        <x:v>0</x:v>
      </x:c>
      <x:c r="G4" s="137" t="n">
        <x:f>IFERROR(F4/E4,0)</x:f>
        <x:v>0</x:v>
      </x:c>
      <x:c r="H4" s="129" t="n">
        <x:f>SUMIFS(Data_Booking!$D:$D,Data_Booking!$B:$B,$B4,Data_Booking!$A:$A,"&gt;="&amp;EOMONTH(TODAY(),-1)+1,Data_Booking!$A:$A,"&lt;="&amp;EOMONTH(TODAY(),0))</x:f>
        <x:v>0</x:v>
      </x:c>
    </x:row>
    <x:row r="5" ht="23.5" customHeight="1">
      <x:c r="A5" s="62" t="s">
        <x:v>28</x:v>
      </x:c>
      <x:c r="B5" s="50" t="s">
        <x:v>29</x:v>
      </x:c>
      <x:c r="C5" s="102"/>
      <x:c r="D5" s="50" t="s">
        <x:v>24</x:v>
      </x:c>
      <x:c r="E5" s="114">
        <x:v>0</x:v>
      </x:c>
      <x:c r="F5" s="114" t="n">
        <x:f>SUMIFS(Data_Booking!$D:$D,Data_Booking!$B:$B,$B5,Data_Booking!$A:$A,"&gt;="&amp;DATE(YEAR(TODAY()),1,1),Data_Booking!$A:$A,"&lt;="&amp;TODAY())</x:f>
        <x:v>0</x:v>
      </x:c>
      <x:c r="G5" s="136" t="n">
        <x:f>IFERROR(F5/E5,0)</x:f>
        <x:v>0</x:v>
      </x:c>
      <x:c r="H5" s="128" t="n">
        <x:f>SUMIFS(Data_Booking!$D:$D,Data_Booking!$B:$B,$B5,Data_Booking!$A:$A,"&gt;="&amp;EOMONTH(TODAY(),-1)+1,Data_Booking!$A:$A,"&lt;="&amp;EOMONTH(TODAY(),0))</x:f>
        <x:v>0</x:v>
      </x:c>
    </x:row>
    <x:row r="6" ht="23.5" customHeight="1">
      <x:c r="A6" s="91" t="s">
        <x:v>30</x:v>
      </x:c>
      <x:c r="B6" s="92" t="s">
        <x:v>31</x:v>
      </x:c>
      <x:c r="C6" s="103"/>
      <x:c r="D6" s="92" t="s">
        <x:v>24</x:v>
      </x:c>
      <x:c r="E6" s="115">
        <x:v>0</x:v>
      </x:c>
      <x:c r="F6" s="115" t="n">
        <x:f>SUMIFS(Data_Booking!$D:$D,Data_Booking!$B:$B,$B6,Data_Booking!$A:$A,"&gt;="&amp;DATE(YEAR(TODAY()),1,1),Data_Booking!$A:$A,"&lt;="&amp;TODAY())</x:f>
        <x:v>0</x:v>
      </x:c>
      <x:c r="G6" s="137" t="n">
        <x:f>IFERROR(F6/E6,0)</x:f>
        <x:v>0</x:v>
      </x:c>
      <x:c r="H6" s="129" t="n">
        <x:f>SUMIFS(Data_Booking!$D:$D,Data_Booking!$B:$B,$B6,Data_Booking!$A:$A,"&gt;="&amp;EOMONTH(TODAY(),-1)+1,Data_Booking!$A:$A,"&lt;="&amp;EOMONTH(TODAY(),0))</x:f>
        <x:v>0</x:v>
      </x:c>
    </x:row>
    <x:row r="7" ht="23.5" customHeight="1">
      <x:c r="A7" s="62"/>
      <x:c r="B7" s="50"/>
      <x:c r="C7" s="102"/>
      <x:c r="D7" s="50"/>
      <x:c r="E7" s="114"/>
      <x:c r="F7" s="114" t="n">
        <x:f>SUMIFS(Data_Booking!$D:$D,Data_Booking!$B:$B,$B7,Data_Booking!$A:$A,"&gt;="&amp;DATE(YEAR(TODAY()),1,1),Data_Booking!$A:$A,"&lt;="&amp;TODAY())</x:f>
        <x:v>0</x:v>
      </x:c>
      <x:c r="G7" s="136" t="n">
        <x:f>IFERROR(F7/E7,0)</x:f>
        <x:v>0</x:v>
      </x:c>
      <x:c r="H7" s="128" t="n">
        <x:f>SUMIFS(Data_Booking!$D:$D,Data_Booking!$B:$B,$B7,Data_Booking!$A:$A,"&gt;="&amp;EOMONTH(TODAY(),-1)+1,Data_Booking!$A:$A,"&lt;="&amp;EOMONTH(TODAY(),0))</x:f>
        <x:v>0</x:v>
      </x:c>
    </x:row>
    <x:row r="8" ht="23.5" customHeight="1">
      <x:c r="A8" s="62"/>
      <x:c r="B8" s="50"/>
      <x:c r="C8" s="102"/>
      <x:c r="D8" s="50"/>
      <x:c r="E8" s="114"/>
      <x:c r="F8" s="114" t="n">
        <x:f>SUMIFS(Data_Booking!$D:$D,Data_Booking!$B:$B,$B8,Data_Booking!$A:$A,"&gt;="&amp;DATE(YEAR(TODAY()),1,1),Data_Booking!$A:$A,"&lt;="&amp;TODAY())</x:f>
        <x:v>0</x:v>
      </x:c>
      <x:c r="G8" s="136" t="n">
        <x:f>IFERROR(F8/E8,0)</x:f>
        <x:v>0</x:v>
      </x:c>
      <x:c r="H8" s="128" t="n">
        <x:f>SUMIFS(Data_Booking!$D:$D,Data_Booking!$B:$B,$B8,Data_Booking!$A:$A,"&gt;="&amp;EOMONTH(TODAY(),-1)+1,Data_Booking!$A:$A,"&lt;="&amp;EOMONTH(TODAY(),0))</x:f>
        <x:v>0</x:v>
      </x:c>
    </x:row>
    <x:row r="9" ht="23.5" customHeight="1">
      <x:c r="A9" s="62"/>
      <x:c r="B9" s="50"/>
      <x:c r="C9" s="102"/>
      <x:c r="D9" s="50"/>
      <x:c r="E9" s="114"/>
      <x:c r="F9" s="114" t="n">
        <x:f>SUMIFS(Data_Booking!$D:$D,Data_Booking!$B:$B,$B9,Data_Booking!$A:$A,"&gt;="&amp;DATE(YEAR(TODAY()),1,1),Data_Booking!$A:$A,"&lt;="&amp;TODAY())</x:f>
        <x:v>0</x:v>
      </x:c>
      <x:c r="G9" s="136" t="n">
        <x:f>IFERROR(F9/E9,0)</x:f>
        <x:v>0</x:v>
      </x:c>
      <x:c r="H9" s="128" t="n">
        <x:f>SUMIFS(Data_Booking!$D:$D,Data_Booking!$B:$B,$B9,Data_Booking!$A:$A,"&gt;="&amp;EOMONTH(TODAY(),-1)+1,Data_Booking!$A:$A,"&lt;="&amp;EOMONTH(TODAY(),0))</x:f>
        <x:v>0</x:v>
      </x:c>
    </x:row>
    <x:row r="10">
      <x:c r="A10" s="62"/>
      <x:c r="B10" s="50"/>
      <x:c r="C10" s="102"/>
      <x:c r="D10" s="50"/>
      <x:c r="E10" s="114"/>
      <x:c r="F10" s="114" t="n">
        <x:f>SUMIFS(Data_Booking!$D:$D,Data_Booking!$B:$B,$B10,Data_Booking!$A:$A,"&gt;="&amp;DATE(YEAR(TODAY()),1,1),Data_Booking!$A:$A,"&lt;="&amp;TODAY())</x:f>
        <x:v>0</x:v>
      </x:c>
      <x:c r="G10" s="136" t="n">
        <x:f>IFERROR(F10/E10,0)</x:f>
        <x:v>0</x:v>
      </x:c>
      <x:c r="H10" s="128" t="n">
        <x:f>SUMIFS(Data_Booking!$D:$D,Data_Booking!$B:$B,$B10,Data_Booking!$A:$A,"&gt;="&amp;EOMONTH(TODAY(),-1)+1,Data_Booking!$A:$A,"&lt;="&amp;EOMONTH(TODAY(),0))</x:f>
        <x:v>0</x:v>
      </x:c>
    </x:row>
    <x:row r="11">
      <x:c r="A11" s="62"/>
      <x:c r="B11" s="50"/>
      <x:c r="C11" s="102"/>
      <x:c r="D11" s="50"/>
      <x:c r="E11" s="114"/>
      <x:c r="F11" s="114" t="n">
        <x:f>SUMIFS(Data_Booking!$D:$D,Data_Booking!$B:$B,$B11,Data_Booking!$A:$A,"&gt;="&amp;DATE(YEAR(TODAY()),1,1),Data_Booking!$A:$A,"&lt;="&amp;TODAY())</x:f>
        <x:v>0</x:v>
      </x:c>
      <x:c r="G11" s="136" t="n">
        <x:f>IFERROR(F11/E11,0)</x:f>
        <x:v>0</x:v>
      </x:c>
      <x:c r="H11" s="128" t="n">
        <x:f>SUMIFS(Data_Booking!$D:$D,Data_Booking!$B:$B,$B11,Data_Booking!$A:$A,"&gt;="&amp;EOMONTH(TODAY(),-1)+1,Data_Booking!$A:$A,"&lt;="&amp;EOMONTH(TODAY(),0))</x:f>
        <x:v>0</x:v>
      </x:c>
    </x:row>
    <x:row r="12">
      <x:c r="A12" s="62"/>
      <x:c r="B12" s="50"/>
      <x:c r="C12" s="102"/>
      <x:c r="D12" s="50"/>
      <x:c r="E12" s="114"/>
      <x:c r="F12" s="114" t="n">
        <x:f>SUMIFS(Data_Booking!$D:$D,Data_Booking!$B:$B,$B12,Data_Booking!$A:$A,"&gt;="&amp;DATE(YEAR(TODAY()),1,1),Data_Booking!$A:$A,"&lt;="&amp;TODAY())</x:f>
        <x:v>0</x:v>
      </x:c>
      <x:c r="G12" s="136" t="n">
        <x:f>IFERROR(F12/E12,0)</x:f>
        <x:v>0</x:v>
      </x:c>
      <x:c r="H12" s="128" t="n">
        <x:f>SUMIFS(Data_Booking!$D:$D,Data_Booking!$B:$B,$B12,Data_Booking!$A:$A,"&gt;="&amp;EOMONTH(TODAY(),-1)+1,Data_Booking!$A:$A,"&lt;="&amp;EOMONTH(TODAY(),0))</x:f>
        <x:v>0</x:v>
      </x:c>
    </x:row>
    <x:row r="13">
      <x:c r="A13" s="62"/>
      <x:c r="B13" s="50"/>
      <x:c r="C13" s="102"/>
      <x:c r="D13" s="50"/>
      <x:c r="E13" s="114"/>
      <x:c r="F13" s="114" t="n">
        <x:f>SUMIFS(Data_Booking!$D:$D,Data_Booking!$B:$B,$B13,Data_Booking!$A:$A,"&gt;="&amp;DATE(YEAR(TODAY()),1,1),Data_Booking!$A:$A,"&lt;="&amp;TODAY())</x:f>
        <x:v>0</x:v>
      </x:c>
      <x:c r="G13" s="136" t="n">
        <x:f>IFERROR(F13/E13,0)</x:f>
        <x:v>0</x:v>
      </x:c>
      <x:c r="H13" s="128" t="n">
        <x:f>SUMIFS(Data_Booking!$D:$D,Data_Booking!$B:$B,$B13,Data_Booking!$A:$A,"&gt;="&amp;EOMONTH(TODAY(),-1)+1,Data_Booking!$A:$A,"&lt;="&amp;EOMONTH(TODAY(),0))</x:f>
        <x:v>0</x:v>
      </x:c>
    </x:row>
    <x:row r="14">
      <x:c r="A14" s="62"/>
      <x:c r="B14" s="50"/>
      <x:c r="C14" s="102"/>
      <x:c r="D14" s="50"/>
      <x:c r="E14" s="114"/>
      <x:c r="F14" s="114" t="n">
        <x:f>SUMIFS(Data_Booking!$D:$D,Data_Booking!$B:$B,$B14,Data_Booking!$A:$A,"&gt;="&amp;DATE(YEAR(TODAY()),1,1),Data_Booking!$A:$A,"&lt;="&amp;TODAY())</x:f>
        <x:v>0</x:v>
      </x:c>
      <x:c r="G14" s="136" t="n">
        <x:f>IFERROR(F14/E14,0)</x:f>
        <x:v>0</x:v>
      </x:c>
      <x:c r="H14" s="128" t="n">
        <x:f>SUMIFS(Data_Booking!$D:$D,Data_Booking!$B:$B,$B14,Data_Booking!$A:$A,"&gt;="&amp;EOMONTH(TODAY(),-1)+1,Data_Booking!$A:$A,"&lt;="&amp;EOMONTH(TODAY(),0))</x:f>
        <x:v>0</x:v>
      </x:c>
    </x:row>
    <x:row r="15">
      <x:c r="A15" s="64"/>
      <x:c r="B15" s="53"/>
      <x:c r="C15" s="104"/>
      <x:c r="D15" s="53"/>
      <x:c r="E15" s="116"/>
      <x:c r="F15" s="116" t="n">
        <x:f>SUMIFS(Data_Booking!$D:$D,Data_Booking!$B:$B,$B15,Data_Booking!$A:$A,"&gt;="&amp;DATE(YEAR(TODAY()),1,1),Data_Booking!$A:$A,"&lt;="&amp;TODAY())</x:f>
        <x:v>0</x:v>
      </x:c>
      <x:c r="G15" s="136" t="n">
        <x:f>IFERROR(F15/E15,0)</x:f>
        <x:v>0</x:v>
      </x:c>
      <x:c r="H15" s="128" t="n">
        <x:f>SUMIFS(Data_Booking!$D:$D,Data_Booking!$B:$B,$B15,Data_Booking!$A:$A,"&gt;="&amp;EOMONTH(TODAY(),-1)+1,Data_Booking!$A:$A,"&lt;="&amp;EOMONTH(TODAY(),0))</x:f>
        <x:v>0</x:v>
      </x:c>
    </x:row>
    <x:row r="16">
      <x:c r="A16" s="64"/>
      <x:c r="B16" s="53"/>
      <x:c r="C16" s="104"/>
      <x:c r="D16" s="53"/>
      <x:c r="E16" s="116"/>
      <x:c r="F16" s="116" t="n">
        <x:f>SUMIFS(Data_Booking!$D:$D,Data_Booking!$B:$B,$B16,Data_Booking!$A:$A,"&gt;="&amp;DATE(YEAR(TODAY()),1,1),Data_Booking!$A:$A,"&lt;="&amp;TODAY())</x:f>
        <x:v>0</x:v>
      </x:c>
      <x:c r="G16" s="136" t="n">
        <x:f>IFERROR(F16/E16,0)</x:f>
        <x:v>0</x:v>
      </x:c>
      <x:c r="H16" s="128" t="n">
        <x:f>SUMIFS(Data_Booking!$D:$D,Data_Booking!$B:$B,$B16,Data_Booking!$A:$A,"&gt;="&amp;EOMONTH(TODAY(),-1)+1,Data_Booking!$A:$A,"&lt;="&amp;EOMONTH(TODAY(),0))</x:f>
        <x:v>0</x:v>
      </x:c>
    </x:row>
    <x:row r="17">
      <x:c r="A17" s="64"/>
      <x:c r="B17" s="53"/>
      <x:c r="C17" s="104"/>
      <x:c r="D17" s="53"/>
      <x:c r="E17" s="117"/>
      <x:c r="F17" s="117" t="n">
        <x:f>SUMIFS(Data_Booking!$D:$D,Data_Booking!$B:$B,$B17,Data_Booking!$A:$A,"&gt;="&amp;DATE(YEAR(TODAY()),1,1),Data_Booking!$A:$A,"&lt;="&amp;TODAY())</x:f>
        <x:v>0</x:v>
      </x:c>
      <x:c r="G17" s="136" t="n">
        <x:f>IFERROR(F17/E17,0)</x:f>
        <x:v>0</x:v>
      </x:c>
      <x:c r="H17" s="128" t="n">
        <x:f>SUMIFS(Data_Booking!$D:$D,Data_Booking!$B:$B,$B17,Data_Booking!$A:$A,"&gt;="&amp;EOMONTH(TODAY(),-1)+1,Data_Booking!$A:$A,"&lt;="&amp;EOMONTH(TODAY(),0))</x:f>
        <x:v>0</x:v>
      </x:c>
    </x:row>
    <x:row r="18">
      <x:c r="A18" s="65"/>
      <x:c r="B18" s="52"/>
      <x:c r="C18" s="105"/>
      <x:c r="D18" s="52"/>
      <x:c r="E18" s="118"/>
      <x:c r="F18" s="118" t="n">
        <x:f>SUMIFS(Data_Booking!$D:$D,Data_Booking!$B:$B,$B18,Data_Booking!$A:$A,"&gt;="&amp;DATE(YEAR(TODAY()),1,1),Data_Booking!$A:$A,"&lt;="&amp;TODAY())</x:f>
        <x:v>0</x:v>
      </x:c>
      <x:c r="G18" s="136" t="n">
        <x:f>IFERROR(F18/E18,0)</x:f>
        <x:v>0</x:v>
      </x:c>
      <x:c r="H18" s="128" t="n">
        <x:f>SUMIFS(Data_Booking!$D:$D,Data_Booking!$B:$B,$B18,Data_Booking!$A:$A,"&gt;="&amp;EOMONTH(TODAY(),-1)+1,Data_Booking!$A:$A,"&lt;="&amp;EOMONTH(TODAY(),0))</x:f>
        <x:v>0</x:v>
      </x:c>
    </x:row>
    <x:row r="19">
      <x:c r="A19" s="65"/>
      <x:c r="B19" s="52"/>
      <x:c r="C19" s="105"/>
      <x:c r="D19" s="52"/>
      <x:c r="E19" s="118"/>
      <x:c r="F19" s="118" t="n">
        <x:f>SUMIFS(Data_Booking!$D:$D,Data_Booking!$B:$B,$B19,Data_Booking!$A:$A,"&gt;="&amp;DATE(YEAR(TODAY()),1,1),Data_Booking!$A:$A,"&lt;="&amp;TODAY())</x:f>
        <x:v>0</x:v>
      </x:c>
      <x:c r="G19" s="136" t="n">
        <x:f>IFERROR(F19/E19,0)</x:f>
        <x:v>0</x:v>
      </x:c>
      <x:c r="H19" s="128" t="n">
        <x:f>SUMIFS(Data_Booking!$D:$D,Data_Booking!$B:$B,$B19,Data_Booking!$A:$A,"&gt;="&amp;EOMONTH(TODAY(),-1)+1,Data_Booking!$A:$A,"&lt;="&amp;EOMONTH(TODAY(),0))</x:f>
        <x:v>0</x:v>
      </x:c>
    </x:row>
    <x:row r="20">
      <x:c r="A20" s="65"/>
      <x:c r="B20" s="52"/>
      <x:c r="C20" s="105"/>
      <x:c r="D20" s="52"/>
      <x:c r="E20" s="118"/>
      <x:c r="F20" s="118" t="n">
        <x:f>SUMIFS(Data_Booking!$D:$D,Data_Booking!$B:$B,$B20,Data_Booking!$A:$A,"&gt;="&amp;DATE(YEAR(TODAY()),1,1),Data_Booking!$A:$A,"&lt;="&amp;TODAY())</x:f>
        <x:v>0</x:v>
      </x:c>
      <x:c r="G20" s="136" t="n">
        <x:f>IFERROR(F20/E20,0)</x:f>
        <x:v>0</x:v>
      </x:c>
      <x:c r="H20" s="128" t="n">
        <x:f>SUMIFS(Data_Booking!$D:$D,Data_Booking!$B:$B,$B20,Data_Booking!$A:$A,"&gt;="&amp;EOMONTH(TODAY(),-1)+1,Data_Booking!$A:$A,"&lt;="&amp;EOMONTH(TODAY(),0))</x:f>
        <x:v>0</x:v>
      </x:c>
    </x:row>
    <x:row r="21">
      <x:c r="A21" s="65"/>
      <x:c r="B21" s="52"/>
      <x:c r="C21" s="105"/>
      <x:c r="D21" s="52"/>
      <x:c r="E21" s="118"/>
      <x:c r="F21" s="118" t="n">
        <x:f>SUMIFS(Data_Booking!$D:$D,Data_Booking!$B:$B,$B21,Data_Booking!$A:$A,"&gt;="&amp;DATE(YEAR(TODAY()),1,1),Data_Booking!$A:$A,"&lt;="&amp;TODAY())</x:f>
        <x:v>0</x:v>
      </x:c>
      <x:c r="G21" s="136" t="n">
        <x:f>IFERROR(F21/E21,0)</x:f>
        <x:v>0</x:v>
      </x:c>
      <x:c r="H21" s="128" t="n">
        <x:f>SUMIFS(Data_Booking!$D:$D,Data_Booking!$B:$B,$B21,Data_Booking!$A:$A,"&gt;="&amp;EOMONTH(TODAY(),-1)+1,Data_Booking!$A:$A,"&lt;="&amp;EOMONTH(TODAY(),0))</x:f>
        <x:v>0</x:v>
      </x:c>
    </x:row>
    <x:row r="22">
      <x:c r="A22" s="65"/>
      <x:c r="B22" s="52"/>
      <x:c r="C22" s="105"/>
      <x:c r="D22" s="52"/>
      <x:c r="E22" s="118"/>
      <x:c r="F22" s="118" t="n">
        <x:f>SUMIFS(Data_Booking!$D:$D,Data_Booking!$B:$B,$B22,Data_Booking!$A:$A,"&gt;="&amp;DATE(YEAR(TODAY()),1,1),Data_Booking!$A:$A,"&lt;="&amp;TODAY())</x:f>
        <x:v>0</x:v>
      </x:c>
      <x:c r="G22" s="136" t="n">
        <x:f>IFERROR(F22/E22,0)</x:f>
        <x:v>0</x:v>
      </x:c>
      <x:c r="H22" s="128" t="n">
        <x:f>SUMIFS(Data_Booking!$D:$D,Data_Booking!$B:$B,$B22,Data_Booking!$A:$A,"&gt;="&amp;EOMONTH(TODAY(),-1)+1,Data_Booking!$A:$A,"&lt;="&amp;EOMONTH(TODAY(),0))</x:f>
        <x:v>0</x:v>
      </x:c>
    </x:row>
    <x:row r="23">
      <x:c r="A23" s="65"/>
      <x:c r="B23" s="52"/>
      <x:c r="C23" s="105"/>
      <x:c r="D23" s="52"/>
      <x:c r="E23" s="118"/>
      <x:c r="F23" s="118" t="n">
        <x:f>SUMIFS(Data_Booking!$D:$D,Data_Booking!$B:$B,$B23,Data_Booking!$A:$A,"&gt;="&amp;DATE(YEAR(TODAY()),1,1),Data_Booking!$A:$A,"&lt;="&amp;TODAY())</x:f>
        <x:v>0</x:v>
      </x:c>
      <x:c r="G23" s="136" t="n">
        <x:f>IFERROR(F23/E23,0)</x:f>
        <x:v>0</x:v>
      </x:c>
      <x:c r="H23" s="128" t="n">
        <x:f>SUMIFS(Data_Booking!$D:$D,Data_Booking!$B:$B,$B23,Data_Booking!$A:$A,"&gt;="&amp;EOMONTH(TODAY(),-1)+1,Data_Booking!$A:$A,"&lt;="&amp;EOMONTH(TODAY(),0))</x:f>
        <x:v>0</x:v>
      </x:c>
    </x:row>
    <x:row r="24">
      <x:c r="A24" s="65"/>
      <x:c r="B24" s="52"/>
      <x:c r="C24" s="105"/>
      <x:c r="D24" s="52"/>
      <x:c r="E24" s="118"/>
      <x:c r="F24" s="118" t="n">
        <x:f>SUMIFS(Data_Booking!$D:$D,Data_Booking!$B:$B,$B24,Data_Booking!$A:$A,"&gt;="&amp;DATE(YEAR(TODAY()),1,1),Data_Booking!$A:$A,"&lt;="&amp;TODAY())</x:f>
        <x:v>0</x:v>
      </x:c>
      <x:c r="G24" s="136" t="n">
        <x:f>IFERROR(F24/E24,0)</x:f>
        <x:v>0</x:v>
      </x:c>
      <x:c r="H24" s="128" t="n">
        <x:f>SUMIFS(Data_Booking!$D:$D,Data_Booking!$B:$B,$B24,Data_Booking!$A:$A,"&gt;="&amp;EOMONTH(TODAY(),-1)+1,Data_Booking!$A:$A,"&lt;="&amp;EOMONTH(TODAY(),0))</x:f>
        <x:v>0</x:v>
      </x:c>
    </x:row>
    <x:row r="25">
      <x:c r="A25" s="65"/>
      <x:c r="B25" s="52"/>
      <x:c r="C25" s="105"/>
      <x:c r="D25" s="52"/>
      <x:c r="E25" s="118"/>
      <x:c r="F25" s="118" t="n">
        <x:f>SUMIFS(Data_Booking!$D:$D,Data_Booking!$B:$B,$B25,Data_Booking!$A:$A,"&gt;="&amp;DATE(YEAR(TODAY()),1,1),Data_Booking!$A:$A,"&lt;="&amp;TODAY())</x:f>
        <x:v>0</x:v>
      </x:c>
      <x:c r="G25" s="136" t="n">
        <x:f>IFERROR(F25/E25,0)</x:f>
        <x:v>0</x:v>
      </x:c>
      <x:c r="H25" s="128" t="n">
        <x:f>SUMIFS(Data_Booking!$D:$D,Data_Booking!$B:$B,$B25,Data_Booking!$A:$A,"&gt;="&amp;EOMONTH(TODAY(),-1)+1,Data_Booking!$A:$A,"&lt;="&amp;EOMONTH(TODAY(),0))</x:f>
        <x:v>0</x:v>
      </x:c>
    </x:row>
    <x:row r="26">
      <x:c r="A26" s="65"/>
      <x:c r="B26" s="52"/>
      <x:c r="C26" s="105"/>
      <x:c r="D26" s="52"/>
      <x:c r="E26" s="118"/>
      <x:c r="F26" s="118" t="n">
        <x:f>SUMIFS(Data_Booking!$D:$D,Data_Booking!$B:$B,$B26,Data_Booking!$A:$A,"&gt;="&amp;DATE(YEAR(TODAY()),1,1),Data_Booking!$A:$A,"&lt;="&amp;TODAY())</x:f>
        <x:v>0</x:v>
      </x:c>
      <x:c r="G26" s="136" t="n">
        <x:f>IFERROR(F26/E26,0)</x:f>
        <x:v>0</x:v>
      </x:c>
      <x:c r="H26" s="128" t="n">
        <x:f>SUMIFS(Data_Booking!$D:$D,Data_Booking!$B:$B,$B26,Data_Booking!$A:$A,"&gt;="&amp;EOMONTH(TODAY(),-1)+1,Data_Booking!$A:$A,"&lt;="&amp;EOMONTH(TODAY(),0))</x:f>
        <x:v>0</x:v>
      </x:c>
    </x:row>
    <x:row r="27">
      <x:c r="A27" s="65"/>
      <x:c r="B27" s="52"/>
      <x:c r="C27" s="105"/>
      <x:c r="D27" s="52"/>
      <x:c r="E27" s="118"/>
      <x:c r="F27" s="118" t="n">
        <x:f>SUMIFS(Data_Booking!$D:$D,Data_Booking!$B:$B,$B27,Data_Booking!$A:$A,"&gt;="&amp;DATE(YEAR(TODAY()),1,1),Data_Booking!$A:$A,"&lt;="&amp;TODAY())</x:f>
        <x:v>0</x:v>
      </x:c>
      <x:c r="G27" s="136" t="n">
        <x:f>IFERROR(F27/E27,0)</x:f>
        <x:v>0</x:v>
      </x:c>
      <x:c r="H27" s="128" t="n">
        <x:f>SUMIFS(Data_Booking!$D:$D,Data_Booking!$B:$B,$B27,Data_Booking!$A:$A,"&gt;="&amp;EOMONTH(TODAY(),-1)+1,Data_Booking!$A:$A,"&lt;="&amp;EOMONTH(TODAY(),0))</x:f>
        <x:v>0</x:v>
      </x:c>
    </x:row>
    <x:row r="28">
      <x:c r="A28" s="65"/>
      <x:c r="B28" s="52"/>
      <x:c r="C28" s="105"/>
      <x:c r="D28" s="52"/>
      <x:c r="E28" s="118"/>
      <x:c r="F28" s="118" t="n">
        <x:f>SUMIFS(Data_Booking!$D:$D,Data_Booking!$B:$B,$B28,Data_Booking!$A:$A,"&gt;="&amp;DATE(YEAR(TODAY()),1,1),Data_Booking!$A:$A,"&lt;="&amp;TODAY())</x:f>
        <x:v>0</x:v>
      </x:c>
      <x:c r="G28" s="136" t="n">
        <x:f>IFERROR(F28/E28,0)</x:f>
        <x:v>0</x:v>
      </x:c>
      <x:c r="H28" s="128" t="n">
        <x:f>SUMIFS(Data_Booking!$D:$D,Data_Booking!$B:$B,$B28,Data_Booking!$A:$A,"&gt;="&amp;EOMONTH(TODAY(),-1)+1,Data_Booking!$A:$A,"&lt;="&amp;EOMONTH(TODAY(),0))</x:f>
        <x:v>0</x:v>
      </x:c>
    </x:row>
    <x:row r="29">
      <x:c r="A29" s="65"/>
      <x:c r="B29" s="52"/>
      <x:c r="C29" s="105"/>
      <x:c r="D29" s="52"/>
      <x:c r="E29" s="118"/>
      <x:c r="F29" s="118" t="n">
        <x:f>SUMIFS(Data_Booking!$D:$D,Data_Booking!$B:$B,$B29,Data_Booking!$A:$A,"&gt;="&amp;DATE(YEAR(TODAY()),1,1),Data_Booking!$A:$A,"&lt;="&amp;TODAY())</x:f>
        <x:v>0</x:v>
      </x:c>
      <x:c r="G29" s="136" t="n">
        <x:f>IFERROR(F29/E29,0)</x:f>
        <x:v>0</x:v>
      </x:c>
      <x:c r="H29" s="128" t="n">
        <x:f>SUMIFS(Data_Booking!$D:$D,Data_Booking!$B:$B,$B29,Data_Booking!$A:$A,"&gt;="&amp;EOMONTH(TODAY(),-1)+1,Data_Booking!$A:$A,"&lt;="&amp;EOMONTH(TODAY(),0))</x:f>
        <x:v>0</x:v>
      </x:c>
    </x:row>
    <x:row r="30">
      <x:c r="A30" s="65"/>
      <x:c r="B30" s="52"/>
      <x:c r="C30" s="105"/>
      <x:c r="D30" s="52"/>
      <x:c r="E30" s="118"/>
      <x:c r="F30" s="118" t="n">
        <x:f>SUMIFS(Data_Booking!$D:$D,Data_Booking!$B:$B,$B30,Data_Booking!$A:$A,"&gt;="&amp;DATE(YEAR(TODAY()),1,1),Data_Booking!$A:$A,"&lt;="&amp;TODAY())</x:f>
        <x:v>0</x:v>
      </x:c>
      <x:c r="G30" s="136" t="n">
        <x:f>IFERROR(F30/E30,0)</x:f>
        <x:v>0</x:v>
      </x:c>
      <x:c r="H30" s="128" t="n">
        <x:f>SUMIFS(Data_Booking!$D:$D,Data_Booking!$B:$B,$B30,Data_Booking!$A:$A,"&gt;="&amp;EOMONTH(TODAY(),-1)+1,Data_Booking!$A:$A,"&lt;="&amp;EOMONTH(TODAY(),0))</x:f>
        <x:v>0</x:v>
      </x:c>
    </x:row>
    <x:row r="31">
      <x:c r="A31" s="65"/>
      <x:c r="B31" s="52"/>
      <x:c r="C31" s="105"/>
      <x:c r="D31" s="52"/>
      <x:c r="E31" s="118"/>
      <x:c r="F31" s="118" t="n">
        <x:f>SUMIFS(Data_Booking!$D:$D,Data_Booking!$B:$B,$B31,Data_Booking!$A:$A,"&gt;="&amp;DATE(YEAR(TODAY()),1,1),Data_Booking!$A:$A,"&lt;="&amp;TODAY())</x:f>
        <x:v>0</x:v>
      </x:c>
      <x:c r="G31" s="136" t="n">
        <x:f>IFERROR(F31/E31,0)</x:f>
        <x:v>0</x:v>
      </x:c>
      <x:c r="H31" s="128" t="n">
        <x:f>SUMIFS(Data_Booking!$D:$D,Data_Booking!$B:$B,$B31,Data_Booking!$A:$A,"&gt;="&amp;EOMONTH(TODAY(),-1)+1,Data_Booking!$A:$A,"&lt;="&amp;EOMONTH(TODAY(),0))</x:f>
        <x:v>0</x:v>
      </x:c>
    </x:row>
    <x:row r="32">
      <x:c r="A32" s="65"/>
      <x:c r="B32" s="52"/>
      <x:c r="C32" s="105"/>
      <x:c r="D32" s="52"/>
      <x:c r="E32" s="118"/>
      <x:c r="F32" s="118" t="n">
        <x:f>SUMIFS(Data_Booking!$D:$D,Data_Booking!$B:$B,$B32,Data_Booking!$A:$A,"&gt;="&amp;DATE(YEAR(TODAY()),1,1),Data_Booking!$A:$A,"&lt;="&amp;TODAY())</x:f>
        <x:v>0</x:v>
      </x:c>
      <x:c r="G32" s="136" t="n">
        <x:f>IFERROR(F32/E32,0)</x:f>
        <x:v>0</x:v>
      </x:c>
      <x:c r="H32" s="128" t="n">
        <x:f>SUMIFS(Data_Booking!$D:$D,Data_Booking!$B:$B,$B32,Data_Booking!$A:$A,"&gt;="&amp;EOMONTH(TODAY(),-1)+1,Data_Booking!$A:$A,"&lt;="&amp;EOMONTH(TODAY(),0))</x:f>
        <x:v>0</x:v>
      </x:c>
    </x:row>
    <x:row r="33">
      <x:c r="A33" s="65"/>
      <x:c r="B33" s="52"/>
      <x:c r="C33" s="105"/>
      <x:c r="D33" s="52"/>
      <x:c r="E33" s="118"/>
      <x:c r="F33" s="118" t="n">
        <x:f>SUMIFS(Data_Booking!$D:$D,Data_Booking!$B:$B,$B33,Data_Booking!$A:$A,"&gt;="&amp;DATE(YEAR(TODAY()),1,1),Data_Booking!$A:$A,"&lt;="&amp;TODAY())</x:f>
        <x:v>0</x:v>
      </x:c>
      <x:c r="G33" s="136" t="n">
        <x:f>IFERROR(F33/E33,0)</x:f>
        <x:v>0</x:v>
      </x:c>
      <x:c r="H33" s="128" t="n">
        <x:f>SUMIFS(Data_Booking!$D:$D,Data_Booking!$B:$B,$B33,Data_Booking!$A:$A,"&gt;="&amp;EOMONTH(TODAY(),-1)+1,Data_Booking!$A:$A,"&lt;="&amp;EOMONTH(TODAY(),0))</x:f>
        <x:v>0</x:v>
      </x:c>
    </x:row>
    <x:row r="34">
      <x:c r="A34" s="65"/>
      <x:c r="B34" s="52"/>
      <x:c r="C34" s="105"/>
      <x:c r="D34" s="52"/>
      <x:c r="E34" s="118"/>
      <x:c r="F34" s="118" t="n">
        <x:f>SUMIFS(Data_Booking!$D:$D,Data_Booking!$B:$B,$B34,Data_Booking!$A:$A,"&gt;="&amp;DATE(YEAR(TODAY()),1,1),Data_Booking!$A:$A,"&lt;="&amp;TODAY())</x:f>
        <x:v>0</x:v>
      </x:c>
      <x:c r="G34" s="136" t="n">
        <x:f>IFERROR(F34/E34,0)</x:f>
        <x:v>0</x:v>
      </x:c>
      <x:c r="H34" s="128" t="n">
        <x:f>SUMIFS(Data_Booking!$D:$D,Data_Booking!$B:$B,$B34,Data_Booking!$A:$A,"&gt;="&amp;EOMONTH(TODAY(),-1)+1,Data_Booking!$A:$A,"&lt;="&amp;EOMONTH(TODAY(),0))</x:f>
        <x:v>0</x:v>
      </x:c>
    </x:row>
    <x:row r="35">
      <x:c r="A35" s="65"/>
      <x:c r="B35" s="52"/>
      <x:c r="C35" s="105"/>
      <x:c r="D35" s="52"/>
      <x:c r="E35" s="118"/>
      <x:c r="F35" s="118" t="n">
        <x:f>SUMIFS(Data_Booking!$D:$D,Data_Booking!$B:$B,$B35,Data_Booking!$A:$A,"&gt;="&amp;DATE(YEAR(TODAY()),1,1),Data_Booking!$A:$A,"&lt;="&amp;TODAY())</x:f>
        <x:v>0</x:v>
      </x:c>
      <x:c r="G35" s="136" t="n">
        <x:f>IFERROR(F35/E35,0)</x:f>
        <x:v>0</x:v>
      </x:c>
      <x:c r="H35" s="128" t="n">
        <x:f>SUMIFS(Data_Booking!$D:$D,Data_Booking!$B:$B,$B35,Data_Booking!$A:$A,"&gt;="&amp;EOMONTH(TODAY(),-1)+1,Data_Booking!$A:$A,"&lt;="&amp;EOMONTH(TODAY(),0))</x:f>
        <x:v>0</x:v>
      </x:c>
    </x:row>
    <x:row r="36">
      <x:c r="A36" s="65"/>
      <x:c r="B36" s="52"/>
      <x:c r="C36" s="105"/>
      <x:c r="D36" s="52"/>
      <x:c r="E36" s="118"/>
      <x:c r="F36" s="118" t="n">
        <x:f>SUMIFS(Data_Booking!$D:$D,Data_Booking!$B:$B,$B36,Data_Booking!$A:$A,"&gt;="&amp;DATE(YEAR(TODAY()),1,1),Data_Booking!$A:$A,"&lt;="&amp;TODAY())</x:f>
        <x:v>0</x:v>
      </x:c>
      <x:c r="G36" s="136" t="n">
        <x:f>IFERROR(F36/E36,0)</x:f>
        <x:v>0</x:v>
      </x:c>
      <x:c r="H36" s="128" t="n">
        <x:f>SUMIFS(Data_Booking!$D:$D,Data_Booking!$B:$B,$B36,Data_Booking!$A:$A,"&gt;="&amp;EOMONTH(TODAY(),-1)+1,Data_Booking!$A:$A,"&lt;="&amp;EOMONTH(TODAY(),0))</x:f>
        <x:v>0</x:v>
      </x:c>
    </x:row>
    <x:row r="37">
      <x:c r="A37" s="65"/>
      <x:c r="B37" s="52"/>
      <x:c r="C37" s="105"/>
      <x:c r="D37" s="52"/>
      <x:c r="E37" s="118"/>
      <x:c r="F37" s="118" t="n">
        <x:f>SUMIFS(Data_Booking!$D:$D,Data_Booking!$B:$B,$B37,Data_Booking!$A:$A,"&gt;="&amp;DATE(YEAR(TODAY()),1,1),Data_Booking!$A:$A,"&lt;="&amp;TODAY())</x:f>
        <x:v>0</x:v>
      </x:c>
      <x:c r="G37" s="136" t="n">
        <x:f>IFERROR(F37/E37,0)</x:f>
        <x:v>0</x:v>
      </x:c>
      <x:c r="H37" s="128" t="n">
        <x:f>SUMIFS(Data_Booking!$D:$D,Data_Booking!$B:$B,$B37,Data_Booking!$A:$A,"&gt;="&amp;EOMONTH(TODAY(),-1)+1,Data_Booking!$A:$A,"&lt;="&amp;EOMONTH(TODAY(),0))</x:f>
        <x:v>0</x:v>
      </x:c>
    </x:row>
    <x:row r="38">
      <x:c r="A38" s="65"/>
      <x:c r="B38" s="52"/>
      <x:c r="C38" s="105"/>
      <x:c r="D38" s="52"/>
      <x:c r="E38" s="118"/>
      <x:c r="F38" s="118" t="n">
        <x:f>SUMIFS(Data_Booking!$D:$D,Data_Booking!$B:$B,$B38,Data_Booking!$A:$A,"&gt;="&amp;DATE(YEAR(TODAY()),1,1),Data_Booking!$A:$A,"&lt;="&amp;TODAY())</x:f>
        <x:v>0</x:v>
      </x:c>
      <x:c r="G38" s="136" t="n">
        <x:f>IFERROR(F38/E38,0)</x:f>
        <x:v>0</x:v>
      </x:c>
      <x:c r="H38" s="128" t="n">
        <x:f>SUMIFS(Data_Booking!$D:$D,Data_Booking!$B:$B,$B38,Data_Booking!$A:$A,"&gt;="&amp;EOMONTH(TODAY(),-1)+1,Data_Booking!$A:$A,"&lt;="&amp;EOMONTH(TODAY(),0))</x:f>
        <x:v>0</x:v>
      </x:c>
    </x:row>
    <x:row r="39">
      <x:c r="A39" s="65"/>
      <x:c r="B39" s="52"/>
      <x:c r="C39" s="105"/>
      <x:c r="D39" s="52"/>
      <x:c r="E39" s="118"/>
      <x:c r="F39" s="118" t="n">
        <x:f>SUMIFS(Data_Booking!$D:$D,Data_Booking!$B:$B,$B39,Data_Booking!$A:$A,"&gt;="&amp;DATE(YEAR(TODAY()),1,1),Data_Booking!$A:$A,"&lt;="&amp;TODAY())</x:f>
        <x:v>0</x:v>
      </x:c>
      <x:c r="G39" s="136" t="n">
        <x:f>IFERROR(F39/E39,0)</x:f>
        <x:v>0</x:v>
      </x:c>
      <x:c r="H39" s="128" t="n">
        <x:f>SUMIFS(Data_Booking!$D:$D,Data_Booking!$B:$B,$B39,Data_Booking!$A:$A,"&gt;="&amp;EOMONTH(TODAY(),-1)+1,Data_Booking!$A:$A,"&lt;="&amp;EOMONTH(TODAY(),0))</x:f>
        <x:v>0</x:v>
      </x:c>
    </x:row>
    <x:row r="40">
      <x:c r="A40" s="65"/>
      <x:c r="B40" s="52"/>
      <x:c r="C40" s="105"/>
      <x:c r="D40" s="52"/>
      <x:c r="E40" s="118"/>
      <x:c r="F40" s="118" t="n">
        <x:f>SUMIFS(Data_Booking!$D:$D,Data_Booking!$B:$B,$B40,Data_Booking!$A:$A,"&gt;="&amp;DATE(YEAR(TODAY()),1,1),Data_Booking!$A:$A,"&lt;="&amp;TODAY())</x:f>
        <x:v>0</x:v>
      </x:c>
      <x:c r="G40" s="136" t="n">
        <x:f>IFERROR(F40/E40,0)</x:f>
        <x:v>0</x:v>
      </x:c>
      <x:c r="H40" s="128" t="n">
        <x:f>SUMIFS(Data_Booking!$D:$D,Data_Booking!$B:$B,$B40,Data_Booking!$A:$A,"&gt;="&amp;EOMONTH(TODAY(),-1)+1,Data_Booking!$A:$A,"&lt;="&amp;EOMONTH(TODAY(),0))</x:f>
        <x:v>0</x:v>
      </x:c>
    </x:row>
    <x:row r="41">
      <x:c r="A41" s="65"/>
      <x:c r="B41" s="52"/>
      <x:c r="C41" s="105"/>
      <x:c r="D41" s="52"/>
      <x:c r="E41" s="118"/>
      <x:c r="F41" s="118" t="n">
        <x:f>SUMIFS(Data_Booking!$D:$D,Data_Booking!$B:$B,$B41,Data_Booking!$A:$A,"&gt;="&amp;DATE(YEAR(TODAY()),1,1),Data_Booking!$A:$A,"&lt;="&amp;TODAY())</x:f>
        <x:v>0</x:v>
      </x:c>
      <x:c r="G41" s="136" t="n">
        <x:f>IFERROR(F41/E41,0)</x:f>
        <x:v>0</x:v>
      </x:c>
      <x:c r="H41" s="128" t="n">
        <x:f>SUMIFS(Data_Booking!$D:$D,Data_Booking!$B:$B,$B41,Data_Booking!$A:$A,"&gt;="&amp;EOMONTH(TODAY(),-1)+1,Data_Booking!$A:$A,"&lt;="&amp;EOMONTH(TODAY(),0))</x:f>
        <x:v>0</x:v>
      </x:c>
    </x:row>
    <x:row r="42">
      <x:c r="A42" s="65"/>
      <x:c r="B42" s="52"/>
      <x:c r="C42" s="105"/>
      <x:c r="D42" s="52"/>
      <x:c r="E42" s="118"/>
      <x:c r="F42" s="118" t="n">
        <x:f>SUMIFS(Data_Booking!$D:$D,Data_Booking!$B:$B,$B42,Data_Booking!$A:$A,"&gt;="&amp;DATE(YEAR(TODAY()),1,1),Data_Booking!$A:$A,"&lt;="&amp;TODAY())</x:f>
        <x:v>0</x:v>
      </x:c>
      <x:c r="G42" s="136" t="n">
        <x:f>IFERROR(F42/E42,0)</x:f>
        <x:v>0</x:v>
      </x:c>
      <x:c r="H42" s="128" t="n">
        <x:f>SUMIFS(Data_Booking!$D:$D,Data_Booking!$B:$B,$B42,Data_Booking!$A:$A,"&gt;="&amp;EOMONTH(TODAY(),-1)+1,Data_Booking!$A:$A,"&lt;="&amp;EOMONTH(TODAY(),0))</x:f>
        <x:v>0</x:v>
      </x:c>
    </x:row>
    <x:row r="43">
      <x:c r="A43" s="65"/>
      <x:c r="B43" s="52"/>
      <x:c r="C43" s="105"/>
      <x:c r="D43" s="52"/>
      <x:c r="E43" s="118"/>
      <x:c r="F43" s="118" t="n">
        <x:f>SUMIFS(Data_Booking!$D:$D,Data_Booking!$B:$B,$B43,Data_Booking!$A:$A,"&gt;="&amp;DATE(YEAR(TODAY()),1,1),Data_Booking!$A:$A,"&lt;="&amp;TODAY())</x:f>
        <x:v>0</x:v>
      </x:c>
      <x:c r="G43" s="136" t="n">
        <x:f>IFERROR(F43/E43,0)</x:f>
        <x:v>0</x:v>
      </x:c>
      <x:c r="H43" s="128" t="n">
        <x:f>SUMIFS(Data_Booking!$D:$D,Data_Booking!$B:$B,$B43,Data_Booking!$A:$A,"&gt;="&amp;EOMONTH(TODAY(),-1)+1,Data_Booking!$A:$A,"&lt;="&amp;EOMONTH(TODAY(),0))</x:f>
        <x:v>0</x:v>
      </x:c>
    </x:row>
    <x:row r="44">
      <x:c r="A44" s="65"/>
      <x:c r="B44" s="52"/>
      <x:c r="C44" s="105"/>
      <x:c r="D44" s="52"/>
      <x:c r="E44" s="118"/>
      <x:c r="F44" s="118" t="n">
        <x:f>SUMIFS(Data_Booking!$D:$D,Data_Booking!$B:$B,$B44,Data_Booking!$A:$A,"&gt;="&amp;DATE(YEAR(TODAY()),1,1),Data_Booking!$A:$A,"&lt;="&amp;TODAY())</x:f>
        <x:v>0</x:v>
      </x:c>
      <x:c r="G44" s="136" t="n">
        <x:f>IFERROR(F44/E44,0)</x:f>
        <x:v>0</x:v>
      </x:c>
      <x:c r="H44" s="128" t="n">
        <x:f>SUMIFS(Data_Booking!$D:$D,Data_Booking!$B:$B,$B44,Data_Booking!$A:$A,"&gt;="&amp;EOMONTH(TODAY(),-1)+1,Data_Booking!$A:$A,"&lt;="&amp;EOMONTH(TODAY(),0))</x:f>
        <x:v>0</x:v>
      </x:c>
    </x:row>
    <x:row r="45">
      <x:c r="A45" s="65"/>
      <x:c r="B45" s="52"/>
      <x:c r="C45" s="105"/>
      <x:c r="D45" s="52"/>
      <x:c r="E45" s="118"/>
      <x:c r="F45" s="118" t="n">
        <x:f>SUMIFS(Data_Booking!$D:$D,Data_Booking!$B:$B,$B45,Data_Booking!$A:$A,"&gt;="&amp;DATE(YEAR(TODAY()),1,1),Data_Booking!$A:$A,"&lt;="&amp;TODAY())</x:f>
        <x:v>0</x:v>
      </x:c>
      <x:c r="G45" s="136" t="n">
        <x:f>IFERROR(F45/E45,0)</x:f>
        <x:v>0</x:v>
      </x:c>
      <x:c r="H45" s="128" t="n">
        <x:f>SUMIFS(Data_Booking!$D:$D,Data_Booking!$B:$B,$B45,Data_Booking!$A:$A,"&gt;="&amp;EOMONTH(TODAY(),-1)+1,Data_Booking!$A:$A,"&lt;="&amp;EOMONTH(TODAY(),0))</x:f>
        <x:v>0</x:v>
      </x:c>
    </x:row>
    <x:row r="46">
      <x:c r="A46" s="65"/>
      <x:c r="B46" s="52"/>
      <x:c r="C46" s="105"/>
      <x:c r="D46" s="52"/>
      <x:c r="E46" s="118"/>
      <x:c r="F46" s="118" t="n">
        <x:f>SUMIFS(Data_Booking!$D:$D,Data_Booking!$B:$B,$B46,Data_Booking!$A:$A,"&gt;="&amp;DATE(YEAR(TODAY()),1,1),Data_Booking!$A:$A,"&lt;="&amp;TODAY())</x:f>
        <x:v>0</x:v>
      </x:c>
      <x:c r="G46" s="136" t="n">
        <x:f>IFERROR(F46/E46,0)</x:f>
        <x:v>0</x:v>
      </x:c>
      <x:c r="H46" s="128" t="n">
        <x:f>SUMIFS(Data_Booking!$D:$D,Data_Booking!$B:$B,$B46,Data_Booking!$A:$A,"&gt;="&amp;EOMONTH(TODAY(),-1)+1,Data_Booking!$A:$A,"&lt;="&amp;EOMONTH(TODAY(),0))</x:f>
        <x:v>0</x:v>
      </x:c>
    </x:row>
    <x:row r="47">
      <x:c r="A47" s="65"/>
      <x:c r="B47" s="52"/>
      <x:c r="C47" s="105"/>
      <x:c r="D47" s="52"/>
      <x:c r="E47" s="118"/>
      <x:c r="F47" s="118" t="n">
        <x:f>SUMIFS(Data_Booking!$D:$D,Data_Booking!$B:$B,$B47,Data_Booking!$A:$A,"&gt;="&amp;DATE(YEAR(TODAY()),1,1),Data_Booking!$A:$A,"&lt;="&amp;TODAY())</x:f>
        <x:v>0</x:v>
      </x:c>
      <x:c r="G47" s="136" t="n">
        <x:f>IFERROR(F47/E47,0)</x:f>
        <x:v>0</x:v>
      </x:c>
      <x:c r="H47" s="128" t="n">
        <x:f>SUMIFS(Data_Booking!$D:$D,Data_Booking!$B:$B,$B47,Data_Booking!$A:$A,"&gt;="&amp;EOMONTH(TODAY(),-1)+1,Data_Booking!$A:$A,"&lt;="&amp;EOMONTH(TODAY(),0))</x:f>
        <x:v>0</x:v>
      </x:c>
    </x:row>
    <x:row r="48">
      <x:c r="A48" s="65"/>
      <x:c r="B48" s="52"/>
      <x:c r="C48" s="105"/>
      <x:c r="D48" s="52"/>
      <x:c r="E48" s="118"/>
      <x:c r="F48" s="118" t="n">
        <x:f>SUMIFS(Data_Booking!$D:$D,Data_Booking!$B:$B,$B48,Data_Booking!$A:$A,"&gt;="&amp;DATE(YEAR(TODAY()),1,1),Data_Booking!$A:$A,"&lt;="&amp;TODAY())</x:f>
        <x:v>0</x:v>
      </x:c>
      <x:c r="G48" s="136" t="n">
        <x:f>IFERROR(F48/E48,0)</x:f>
        <x:v>0</x:v>
      </x:c>
      <x:c r="H48" s="128" t="n">
        <x:f>SUMIFS(Data_Booking!$D:$D,Data_Booking!$B:$B,$B48,Data_Booking!$A:$A,"&gt;="&amp;EOMONTH(TODAY(),-1)+1,Data_Booking!$A:$A,"&lt;="&amp;EOMONTH(TODAY(),0))</x:f>
        <x:v>0</x:v>
      </x:c>
    </x:row>
    <x:row r="49">
      <x:c r="A49" s="65"/>
      <x:c r="B49" s="52"/>
      <x:c r="C49" s="105"/>
      <x:c r="D49" s="52"/>
      <x:c r="E49" s="118"/>
      <x:c r="F49" s="118" t="n">
        <x:f>SUMIFS(Data_Booking!$D:$D,Data_Booking!$B:$B,$B49,Data_Booking!$A:$A,"&gt;="&amp;DATE(YEAR(TODAY()),1,1),Data_Booking!$A:$A,"&lt;="&amp;TODAY())</x:f>
        <x:v>0</x:v>
      </x:c>
      <x:c r="G49" s="136" t="n">
        <x:f>IFERROR(F49/E49,0)</x:f>
        <x:v>0</x:v>
      </x:c>
      <x:c r="H49" s="128" t="n">
        <x:f>SUMIFS(Data_Booking!$D:$D,Data_Booking!$B:$B,$B49,Data_Booking!$A:$A,"&gt;="&amp;EOMONTH(TODAY(),-1)+1,Data_Booking!$A:$A,"&lt;="&amp;EOMONTH(TODAY(),0))</x:f>
        <x:v>0</x:v>
      </x:c>
    </x:row>
    <x:row r="50">
      <x:c r="A50" s="65"/>
      <x:c r="B50" s="52"/>
      <x:c r="C50" s="105"/>
      <x:c r="D50" s="52"/>
      <x:c r="E50" s="118"/>
      <x:c r="F50" s="118" t="n">
        <x:f>SUMIFS(Data_Booking!$D:$D,Data_Booking!$B:$B,$B50,Data_Booking!$A:$A,"&gt;="&amp;DATE(YEAR(TODAY()),1,1),Data_Booking!$A:$A,"&lt;="&amp;TODAY())</x:f>
        <x:v>0</x:v>
      </x:c>
      <x:c r="G50" s="136" t="n">
        <x:f>IFERROR(F50/E50,0)</x:f>
        <x:v>0</x:v>
      </x:c>
      <x:c r="H50" s="128" t="n">
        <x:f>SUMIFS(Data_Booking!$D:$D,Data_Booking!$B:$B,$B50,Data_Booking!$A:$A,"&gt;="&amp;EOMONTH(TODAY(),-1)+1,Data_Booking!$A:$A,"&lt;="&amp;EOMONTH(TODAY(),0))</x:f>
        <x:v>0</x:v>
      </x:c>
    </x:row>
    <x:row r="51">
      <x:c r="A51" s="65"/>
      <x:c r="B51" s="52"/>
      <x:c r="C51" s="105"/>
      <x:c r="D51" s="52"/>
      <x:c r="E51" s="118"/>
      <x:c r="F51" s="118" t="n">
        <x:f>SUMIFS(Data_Booking!$D:$D,Data_Booking!$B:$B,$B51,Data_Booking!$A:$A,"&gt;="&amp;DATE(YEAR(TODAY()),1,1),Data_Booking!$A:$A,"&lt;="&amp;TODAY())</x:f>
        <x:v>0</x:v>
      </x:c>
      <x:c r="G51" s="136" t="n">
        <x:f>IFERROR(F51/E51,0)</x:f>
        <x:v>0</x:v>
      </x:c>
      <x:c r="H51" s="128" t="n">
        <x:f>SUMIFS(Data_Booking!$D:$D,Data_Booking!$B:$B,$B51,Data_Booking!$A:$A,"&gt;="&amp;EOMONTH(TODAY(),-1)+1,Data_Booking!$A:$A,"&lt;="&amp;EOMONTH(TODAY(),0))</x:f>
        <x:v>0</x:v>
      </x:c>
    </x:row>
    <x:row r="52">
      <x:c r="A52" s="65"/>
      <x:c r="B52" s="52"/>
      <x:c r="C52" s="105"/>
      <x:c r="D52" s="52"/>
      <x:c r="E52" s="118"/>
      <x:c r="F52" s="118" t="n">
        <x:f>SUMIFS(Data_Booking!$D:$D,Data_Booking!$B:$B,$B52,Data_Booking!$A:$A,"&gt;="&amp;DATE(YEAR(TODAY()),1,1),Data_Booking!$A:$A,"&lt;="&amp;TODAY())</x:f>
        <x:v>0</x:v>
      </x:c>
      <x:c r="G52" s="136" t="n">
        <x:f>IFERROR(F52/E52,0)</x:f>
        <x:v>0</x:v>
      </x:c>
      <x:c r="H52" s="128" t="n">
        <x:f>SUMIFS(Data_Booking!$D:$D,Data_Booking!$B:$B,$B52,Data_Booking!$A:$A,"&gt;="&amp;EOMONTH(TODAY(),-1)+1,Data_Booking!$A:$A,"&lt;="&amp;EOMONTH(TODAY(),0))</x:f>
        <x:v>0</x:v>
      </x:c>
    </x:row>
    <x:row r="53">
      <x:c r="A53" s="65"/>
      <x:c r="B53" s="52"/>
      <x:c r="C53" s="105"/>
      <x:c r="D53" s="52"/>
      <x:c r="E53" s="118"/>
      <x:c r="F53" s="118" t="n">
        <x:f>SUMIFS(Data_Booking!$D:$D,Data_Booking!$B:$B,$B53,Data_Booking!$A:$A,"&gt;="&amp;DATE(YEAR(TODAY()),1,1),Data_Booking!$A:$A,"&lt;="&amp;TODAY())</x:f>
        <x:v>0</x:v>
      </x:c>
      <x:c r="G53" s="136" t="n">
        <x:f>IFERROR(F53/E53,0)</x:f>
        <x:v>0</x:v>
      </x:c>
      <x:c r="H53" s="128" t="n">
        <x:f>SUMIFS(Data_Booking!$D:$D,Data_Booking!$B:$B,$B53,Data_Booking!$A:$A,"&gt;="&amp;EOMONTH(TODAY(),-1)+1,Data_Booking!$A:$A,"&lt;="&amp;EOMONTH(TODAY(),0))</x:f>
        <x:v>0</x:v>
      </x:c>
    </x:row>
    <x:row r="54">
      <x:c r="A54" s="65"/>
      <x:c r="B54" s="52"/>
      <x:c r="C54" s="105"/>
      <x:c r="D54" s="52"/>
      <x:c r="E54" s="118"/>
      <x:c r="F54" s="118" t="n">
        <x:f>SUMIFS(Data_Booking!$D:$D,Data_Booking!$B:$B,$B54,Data_Booking!$A:$A,"&gt;="&amp;DATE(YEAR(TODAY()),1,1),Data_Booking!$A:$A,"&lt;="&amp;TODAY())</x:f>
        <x:v>0</x:v>
      </x:c>
      <x:c r="G54" s="136" t="n">
        <x:f>IFERROR(F54/E54,0)</x:f>
        <x:v>0</x:v>
      </x:c>
      <x:c r="H54" s="128" t="n">
        <x:f>SUMIFS(Data_Booking!$D:$D,Data_Booking!$B:$B,$B54,Data_Booking!$A:$A,"&gt;="&amp;EOMONTH(TODAY(),-1)+1,Data_Booking!$A:$A,"&lt;="&amp;EOMONTH(TODAY(),0))</x:f>
        <x:v>0</x:v>
      </x:c>
    </x:row>
    <x:row r="55">
      <x:c r="A55" s="65"/>
      <x:c r="B55" s="52"/>
      <x:c r="C55" s="105"/>
      <x:c r="D55" s="52"/>
      <x:c r="E55" s="118"/>
      <x:c r="F55" s="118" t="n">
        <x:f>SUMIFS(Data_Booking!$D:$D,Data_Booking!$B:$B,$B55,Data_Booking!$A:$A,"&gt;="&amp;DATE(YEAR(TODAY()),1,1),Data_Booking!$A:$A,"&lt;="&amp;TODAY())</x:f>
        <x:v>0</x:v>
      </x:c>
      <x:c r="G55" s="136" t="n">
        <x:f>IFERROR(F55/E55,0)</x:f>
        <x:v>0</x:v>
      </x:c>
      <x:c r="H55" s="128" t="n">
        <x:f>SUMIFS(Data_Booking!$D:$D,Data_Booking!$B:$B,$B55,Data_Booking!$A:$A,"&gt;="&amp;EOMONTH(TODAY(),-1)+1,Data_Booking!$A:$A,"&lt;="&amp;EOMONTH(TODAY(),0))</x:f>
        <x:v>0</x:v>
      </x:c>
    </x:row>
    <x:row r="56">
      <x:c r="A56" s="65"/>
      <x:c r="B56" s="52"/>
      <x:c r="C56" s="105"/>
      <x:c r="D56" s="52"/>
      <x:c r="E56" s="118"/>
      <x:c r="F56" s="118" t="n">
        <x:f>SUMIFS(Data_Booking!$D:$D,Data_Booking!$B:$B,$B56,Data_Booking!$A:$A,"&gt;="&amp;DATE(YEAR(TODAY()),1,1),Data_Booking!$A:$A,"&lt;="&amp;TODAY())</x:f>
        <x:v>0</x:v>
      </x:c>
      <x:c r="G56" s="136" t="n">
        <x:f>IFERROR(F56/E56,0)</x:f>
        <x:v>0</x:v>
      </x:c>
      <x:c r="H56" s="128" t="n">
        <x:f>SUMIFS(Data_Booking!$D:$D,Data_Booking!$B:$B,$B56,Data_Booking!$A:$A,"&gt;="&amp;EOMONTH(TODAY(),-1)+1,Data_Booking!$A:$A,"&lt;="&amp;EOMONTH(TODAY(),0))</x:f>
        <x:v>0</x:v>
      </x:c>
    </x:row>
    <x:row r="57">
      <x:c r="A57" s="65"/>
      <x:c r="B57" s="52"/>
      <x:c r="C57" s="105"/>
      <x:c r="D57" s="52"/>
      <x:c r="E57" s="118"/>
      <x:c r="F57" s="118" t="n">
        <x:f>SUMIFS(Data_Booking!$D:$D,Data_Booking!$B:$B,$B57,Data_Booking!$A:$A,"&gt;="&amp;DATE(YEAR(TODAY()),1,1),Data_Booking!$A:$A,"&lt;="&amp;TODAY())</x:f>
        <x:v>0</x:v>
      </x:c>
      <x:c r="G57" s="136" t="n">
        <x:f>IFERROR(F57/E57,0)</x:f>
        <x:v>0</x:v>
      </x:c>
      <x:c r="H57" s="128" t="n">
        <x:f>SUMIFS(Data_Booking!$D:$D,Data_Booking!$B:$B,$B57,Data_Booking!$A:$A,"&gt;="&amp;EOMONTH(TODAY(),-1)+1,Data_Booking!$A:$A,"&lt;="&amp;EOMONTH(TODAY(),0))</x:f>
        <x:v>0</x:v>
      </x:c>
    </x:row>
    <x:row r="58">
      <x:c r="A58" s="65"/>
      <x:c r="B58" s="52"/>
      <x:c r="C58" s="105"/>
      <x:c r="D58" s="52"/>
      <x:c r="E58" s="118"/>
      <x:c r="F58" s="118" t="n">
        <x:f>SUMIFS(Data_Booking!$D:$D,Data_Booking!$B:$B,$B58,Data_Booking!$A:$A,"&gt;="&amp;DATE(YEAR(TODAY()),1,1),Data_Booking!$A:$A,"&lt;="&amp;TODAY())</x:f>
        <x:v>0</x:v>
      </x:c>
      <x:c r="G58" s="136" t="n">
        <x:f>IFERROR(F58/E58,0)</x:f>
        <x:v>0</x:v>
      </x:c>
      <x:c r="H58" s="128" t="n">
        <x:f>SUMIFS(Data_Booking!$D:$D,Data_Booking!$B:$B,$B58,Data_Booking!$A:$A,"&gt;="&amp;EOMONTH(TODAY(),-1)+1,Data_Booking!$A:$A,"&lt;="&amp;EOMONTH(TODAY(),0))</x:f>
        <x:v>0</x:v>
      </x:c>
    </x:row>
    <x:row r="59">
      <x:c r="A59" s="65"/>
      <x:c r="B59" s="52"/>
      <x:c r="C59" s="105"/>
      <x:c r="D59" s="52"/>
      <x:c r="E59" s="118"/>
      <x:c r="F59" s="118" t="n">
        <x:f>SUMIFS(Data_Booking!$D:$D,Data_Booking!$B:$B,$B59,Data_Booking!$A:$A,"&gt;="&amp;DATE(YEAR(TODAY()),1,1),Data_Booking!$A:$A,"&lt;="&amp;TODAY())</x:f>
        <x:v>0</x:v>
      </x:c>
      <x:c r="G59" s="136" t="n">
        <x:f>IFERROR(F59/E59,0)</x:f>
        <x:v>0</x:v>
      </x:c>
      <x:c r="H59" s="128" t="n">
        <x:f>SUMIFS(Data_Booking!$D:$D,Data_Booking!$B:$B,$B59,Data_Booking!$A:$A,"&gt;="&amp;EOMONTH(TODAY(),-1)+1,Data_Booking!$A:$A,"&lt;="&amp;EOMONTH(TODAY(),0))</x:f>
        <x:v>0</x:v>
      </x:c>
    </x:row>
    <x:row r="60">
      <x:c r="A60" s="65"/>
      <x:c r="B60" s="52"/>
      <x:c r="C60" s="105"/>
      <x:c r="D60" s="52"/>
      <x:c r="E60" s="118"/>
      <x:c r="F60" s="118" t="n">
        <x:f>SUMIFS(Data_Booking!$D:$D,Data_Booking!$B:$B,$B60,Data_Booking!$A:$A,"&gt;="&amp;DATE(YEAR(TODAY()),1,1),Data_Booking!$A:$A,"&lt;="&amp;TODAY())</x:f>
        <x:v>0</x:v>
      </x:c>
      <x:c r="G60" s="136" t="n">
        <x:f>IFERROR(F60/E60,0)</x:f>
        <x:v>0</x:v>
      </x:c>
      <x:c r="H60" s="128" t="n">
        <x:f>SUMIFS(Data_Booking!$D:$D,Data_Booking!$B:$B,$B60,Data_Booking!$A:$A,"&gt;="&amp;EOMONTH(TODAY(),-1)+1,Data_Booking!$A:$A,"&lt;="&amp;EOMONTH(TODAY(),0))</x:f>
        <x:v>0</x:v>
      </x:c>
    </x:row>
    <x:row r="61">
      <x:c r="A61" s="65"/>
      <x:c r="B61" s="52"/>
      <x:c r="C61" s="105"/>
      <x:c r="D61" s="52"/>
      <x:c r="E61" s="118"/>
      <x:c r="F61" s="118" t="n">
        <x:f>SUMIFS(Data_Booking!$D:$D,Data_Booking!$B:$B,$B61,Data_Booking!$A:$A,"&gt;="&amp;DATE(YEAR(TODAY()),1,1),Data_Booking!$A:$A,"&lt;="&amp;TODAY())</x:f>
        <x:v>0</x:v>
      </x:c>
      <x:c r="G61" s="136" t="n">
        <x:f>IFERROR(F61/E61,0)</x:f>
        <x:v>0</x:v>
      </x:c>
      <x:c r="H61" s="128" t="n">
        <x:f>SUMIFS(Data_Booking!$D:$D,Data_Booking!$B:$B,$B61,Data_Booking!$A:$A,"&gt;="&amp;EOMONTH(TODAY(),-1)+1,Data_Booking!$A:$A,"&lt;="&amp;EOMONTH(TODAY(),0))</x:f>
        <x:v>0</x:v>
      </x:c>
    </x:row>
    <x:row r="62">
      <x:c r="A62" s="65"/>
      <x:c r="B62" s="52"/>
      <x:c r="C62" s="105"/>
      <x:c r="D62" s="52"/>
      <x:c r="E62" s="118"/>
      <x:c r="F62" s="118" t="n">
        <x:f>SUMIFS(Data_Booking!$D:$D,Data_Booking!$B:$B,$B62,Data_Booking!$A:$A,"&gt;="&amp;DATE(YEAR(TODAY()),1,1),Data_Booking!$A:$A,"&lt;="&amp;TODAY())</x:f>
        <x:v>0</x:v>
      </x:c>
      <x:c r="G62" s="136" t="n">
        <x:f>IFERROR(F62/E62,0)</x:f>
        <x:v>0</x:v>
      </x:c>
      <x:c r="H62" s="128" t="n">
        <x:f>SUMIFS(Data_Booking!$D:$D,Data_Booking!$B:$B,$B62,Data_Booking!$A:$A,"&gt;="&amp;EOMONTH(TODAY(),-1)+1,Data_Booking!$A:$A,"&lt;="&amp;EOMONTH(TODAY(),0))</x:f>
        <x:v>0</x:v>
      </x:c>
    </x:row>
    <x:row r="63">
      <x:c r="A63" s="65"/>
      <x:c r="B63" s="52"/>
      <x:c r="C63" s="105"/>
      <x:c r="D63" s="52"/>
      <x:c r="E63" s="118"/>
      <x:c r="F63" s="118" t="n">
        <x:f>SUMIFS(Data_Booking!$D:$D,Data_Booking!$B:$B,$B63,Data_Booking!$A:$A,"&gt;="&amp;DATE(YEAR(TODAY()),1,1),Data_Booking!$A:$A,"&lt;="&amp;TODAY())</x:f>
        <x:v>0</x:v>
      </x:c>
      <x:c r="G63" s="136" t="n">
        <x:f>IFERROR(F63/E63,0)</x:f>
        <x:v>0</x:v>
      </x:c>
      <x:c r="H63" s="128" t="n">
        <x:f>SUMIFS(Data_Booking!$D:$D,Data_Booking!$B:$B,$B63,Data_Booking!$A:$A,"&gt;="&amp;EOMONTH(TODAY(),-1)+1,Data_Booking!$A:$A,"&lt;="&amp;EOMONTH(TODAY(),0))</x:f>
        <x:v>0</x:v>
      </x:c>
    </x:row>
    <x:row r="64">
      <x:c r="A64" s="65"/>
      <x:c r="B64" s="52"/>
      <x:c r="C64" s="105"/>
      <x:c r="D64" s="52"/>
      <x:c r="E64" s="118"/>
      <x:c r="F64" s="118" t="n">
        <x:f>SUMIFS(Data_Booking!$D:$D,Data_Booking!$B:$B,$B64,Data_Booking!$A:$A,"&gt;="&amp;DATE(YEAR(TODAY()),1,1),Data_Booking!$A:$A,"&lt;="&amp;TODAY())</x:f>
        <x:v>0</x:v>
      </x:c>
      <x:c r="G64" s="136" t="n">
        <x:f>IFERROR(F64/E64,0)</x:f>
        <x:v>0</x:v>
      </x:c>
      <x:c r="H64" s="128" t="n">
        <x:f>SUMIFS(Data_Booking!$D:$D,Data_Booking!$B:$B,$B64,Data_Booking!$A:$A,"&gt;="&amp;EOMONTH(TODAY(),-1)+1,Data_Booking!$A:$A,"&lt;="&amp;EOMONTH(TODAY(),0))</x:f>
        <x:v>0</x:v>
      </x:c>
    </x:row>
    <x:row r="65">
      <x:c r="A65" s="65"/>
      <x:c r="B65" s="52"/>
      <x:c r="C65" s="105"/>
      <x:c r="D65" s="52"/>
      <x:c r="E65" s="118"/>
      <x:c r="F65" s="118" t="n">
        <x:f>SUMIFS(Data_Booking!$D:$D,Data_Booking!$B:$B,$B65,Data_Booking!$A:$A,"&gt;="&amp;DATE(YEAR(TODAY()),1,1),Data_Booking!$A:$A,"&lt;="&amp;TODAY())</x:f>
        <x:v>0</x:v>
      </x:c>
      <x:c r="G65" s="136" t="n">
        <x:f>IFERROR(F65/E65,0)</x:f>
        <x:v>0</x:v>
      </x:c>
      <x:c r="H65" s="128" t="n">
        <x:f>SUMIFS(Data_Booking!$D:$D,Data_Booking!$B:$B,$B65,Data_Booking!$A:$A,"&gt;="&amp;EOMONTH(TODAY(),-1)+1,Data_Booking!$A:$A,"&lt;="&amp;EOMONTH(TODAY(),0))</x:f>
        <x:v>0</x:v>
      </x:c>
    </x:row>
    <x:row r="66">
      <x:c r="A66" s="65"/>
      <x:c r="B66" s="52"/>
      <x:c r="C66" s="105"/>
      <x:c r="D66" s="52"/>
      <x:c r="E66" s="118"/>
      <x:c r="F66" s="118" t="n">
        <x:f>SUMIFS(Data_Booking!$D:$D,Data_Booking!$B:$B,$B66,Data_Booking!$A:$A,"&gt;="&amp;DATE(YEAR(TODAY()),1,1),Data_Booking!$A:$A,"&lt;="&amp;TODAY())</x:f>
        <x:v>0</x:v>
      </x:c>
      <x:c r="G66" s="136" t="n">
        <x:f>IFERROR(F66/E66,0)</x:f>
        <x:v>0</x:v>
      </x:c>
      <x:c r="H66" s="128" t="n">
        <x:f>SUMIFS(Data_Booking!$D:$D,Data_Booking!$B:$B,$B66,Data_Booking!$A:$A,"&gt;="&amp;EOMONTH(TODAY(),-1)+1,Data_Booking!$A:$A,"&lt;="&amp;EOMONTH(TODAY(),0))</x:f>
        <x:v>0</x:v>
      </x:c>
    </x:row>
    <x:row r="67">
      <x:c r="A67" s="65"/>
      <x:c r="B67" s="52"/>
      <x:c r="C67" s="105"/>
      <x:c r="D67" s="52"/>
      <x:c r="E67" s="118"/>
      <x:c r="F67" s="118" t="n">
        <x:f>SUMIFS(Data_Booking!$D:$D,Data_Booking!$B:$B,$B67,Data_Booking!$A:$A,"&gt;="&amp;DATE(YEAR(TODAY()),1,1),Data_Booking!$A:$A,"&lt;="&amp;TODAY())</x:f>
        <x:v>0</x:v>
      </x:c>
      <x:c r="G67" s="136" t="n">
        <x:f>IFERROR(F67/E67,0)</x:f>
        <x:v>0</x:v>
      </x:c>
      <x:c r="H67" s="128" t="n">
        <x:f>SUMIFS(Data_Booking!$D:$D,Data_Booking!$B:$B,$B67,Data_Booking!$A:$A,"&gt;="&amp;EOMONTH(TODAY(),-1)+1,Data_Booking!$A:$A,"&lt;="&amp;EOMONTH(TODAY(),0))</x:f>
        <x:v>0</x:v>
      </x:c>
    </x:row>
    <x:row r="68">
      <x:c r="A68" s="65"/>
      <x:c r="B68" s="52"/>
      <x:c r="C68" s="105"/>
      <x:c r="D68" s="52"/>
      <x:c r="E68" s="118"/>
      <x:c r="F68" s="118" t="n">
        <x:f>SUMIFS(Data_Booking!$D:$D,Data_Booking!$B:$B,$B68,Data_Booking!$A:$A,"&gt;="&amp;DATE(YEAR(TODAY()),1,1),Data_Booking!$A:$A,"&lt;="&amp;TODAY())</x:f>
        <x:v>0</x:v>
      </x:c>
      <x:c r="G68" s="136" t="n">
        <x:f>IFERROR(F68/E68,0)</x:f>
        <x:v>0</x:v>
      </x:c>
      <x:c r="H68" s="128" t="n">
        <x:f>SUMIFS(Data_Booking!$D:$D,Data_Booking!$B:$B,$B68,Data_Booking!$A:$A,"&gt;="&amp;EOMONTH(TODAY(),-1)+1,Data_Booking!$A:$A,"&lt;="&amp;EOMONTH(TODAY(),0))</x:f>
        <x:v>0</x:v>
      </x:c>
    </x:row>
    <x:row r="69">
      <x:c r="A69" s="65"/>
      <x:c r="B69" s="52"/>
      <x:c r="C69" s="105"/>
      <x:c r="D69" s="52"/>
      <x:c r="E69" s="118"/>
      <x:c r="F69" s="118" t="n">
        <x:f>SUMIFS(Data_Booking!$D:$D,Data_Booking!$B:$B,$B69,Data_Booking!$A:$A,"&gt;="&amp;DATE(YEAR(TODAY()),1,1),Data_Booking!$A:$A,"&lt;="&amp;TODAY())</x:f>
        <x:v>0</x:v>
      </x:c>
      <x:c r="G69" s="136" t="n">
        <x:f>IFERROR(F69/E69,0)</x:f>
        <x:v>0</x:v>
      </x:c>
      <x:c r="H69" s="128" t="n">
        <x:f>SUMIFS(Data_Booking!$D:$D,Data_Booking!$B:$B,$B69,Data_Booking!$A:$A,"&gt;="&amp;EOMONTH(TODAY(),-1)+1,Data_Booking!$A:$A,"&lt;="&amp;EOMONTH(TODAY(),0))</x:f>
        <x:v>0</x:v>
      </x:c>
    </x:row>
    <x:row r="70">
      <x:c r="A70" s="65"/>
      <x:c r="B70" s="52"/>
      <x:c r="C70" s="105"/>
      <x:c r="D70" s="52"/>
      <x:c r="E70" s="118"/>
      <x:c r="F70" s="118" t="n">
        <x:f>SUMIFS(Data_Booking!$D:$D,Data_Booking!$B:$B,$B70,Data_Booking!$A:$A,"&gt;="&amp;DATE(YEAR(TODAY()),1,1),Data_Booking!$A:$A,"&lt;="&amp;TODAY())</x:f>
        <x:v>0</x:v>
      </x:c>
      <x:c r="G70" s="136" t="n">
        <x:f>IFERROR(F70/E70,0)</x:f>
        <x:v>0</x:v>
      </x:c>
      <x:c r="H70" s="128" t="n">
        <x:f>SUMIFS(Data_Booking!$D:$D,Data_Booking!$B:$B,$B70,Data_Booking!$A:$A,"&gt;="&amp;EOMONTH(TODAY(),-1)+1,Data_Booking!$A:$A,"&lt;="&amp;EOMONTH(TODAY(),0))</x:f>
        <x:v>0</x:v>
      </x:c>
    </x:row>
    <x:row r="71">
      <x:c r="A71" s="65"/>
      <x:c r="B71" s="52"/>
      <x:c r="C71" s="105"/>
      <x:c r="D71" s="52"/>
      <x:c r="E71" s="118"/>
      <x:c r="F71" s="118" t="n">
        <x:f>SUMIFS(Data_Booking!$D:$D,Data_Booking!$B:$B,$B71,Data_Booking!$A:$A,"&gt;="&amp;DATE(YEAR(TODAY()),1,1),Data_Booking!$A:$A,"&lt;="&amp;TODAY())</x:f>
        <x:v>0</x:v>
      </x:c>
      <x:c r="G71" s="136" t="n">
        <x:f>IFERROR(F71/E71,0)</x:f>
        <x:v>0</x:v>
      </x:c>
      <x:c r="H71" s="128" t="n">
        <x:f>SUMIFS(Data_Booking!$D:$D,Data_Booking!$B:$B,$B71,Data_Booking!$A:$A,"&gt;="&amp;EOMONTH(TODAY(),-1)+1,Data_Booking!$A:$A,"&lt;="&amp;EOMONTH(TODAY(),0))</x:f>
        <x:v>0</x:v>
      </x:c>
    </x:row>
    <x:row r="72">
      <x:c r="A72" s="65"/>
      <x:c r="B72" s="52"/>
      <x:c r="C72" s="105"/>
      <x:c r="D72" s="52"/>
      <x:c r="E72" s="118"/>
      <x:c r="F72" s="118" t="n">
        <x:f>SUMIFS(Data_Booking!$D:$D,Data_Booking!$B:$B,$B72,Data_Booking!$A:$A,"&gt;="&amp;DATE(YEAR(TODAY()),1,1),Data_Booking!$A:$A,"&lt;="&amp;TODAY())</x:f>
        <x:v>0</x:v>
      </x:c>
      <x:c r="G72" s="136" t="n">
        <x:f>IFERROR(F72/E72,0)</x:f>
        <x:v>0</x:v>
      </x:c>
      <x:c r="H72" s="128" t="n">
        <x:f>SUMIFS(Data_Booking!$D:$D,Data_Booking!$B:$B,$B72,Data_Booking!$A:$A,"&gt;="&amp;EOMONTH(TODAY(),-1)+1,Data_Booking!$A:$A,"&lt;="&amp;EOMONTH(TODAY(),0))</x:f>
        <x:v>0</x:v>
      </x:c>
    </x:row>
    <x:row r="73">
      <x:c r="A73" s="65"/>
      <x:c r="B73" s="52"/>
      <x:c r="C73" s="105"/>
      <x:c r="D73" s="52"/>
      <x:c r="E73" s="118"/>
      <x:c r="F73" s="118" t="n">
        <x:f>SUMIFS(Data_Booking!$D:$D,Data_Booking!$B:$B,$B73,Data_Booking!$A:$A,"&gt;="&amp;DATE(YEAR(TODAY()),1,1),Data_Booking!$A:$A,"&lt;="&amp;TODAY())</x:f>
        <x:v>0</x:v>
      </x:c>
      <x:c r="G73" s="136" t="n">
        <x:f>IFERROR(F73/E73,0)</x:f>
        <x:v>0</x:v>
      </x:c>
      <x:c r="H73" s="128" t="n">
        <x:f>SUMIFS(Data_Booking!$D:$D,Data_Booking!$B:$B,$B73,Data_Booking!$A:$A,"&gt;="&amp;EOMONTH(TODAY(),-1)+1,Data_Booking!$A:$A,"&lt;="&amp;EOMONTH(TODAY(),0))</x:f>
        <x:v>0</x:v>
      </x:c>
    </x:row>
    <x:row r="74">
      <x:c r="A74" s="65"/>
      <x:c r="B74" s="52"/>
      <x:c r="C74" s="105"/>
      <x:c r="D74" s="52"/>
      <x:c r="E74" s="118"/>
      <x:c r="F74" s="118" t="n">
        <x:f>SUMIFS(Data_Booking!$D:$D,Data_Booking!$B:$B,$B74,Data_Booking!$A:$A,"&gt;="&amp;DATE(YEAR(TODAY()),1,1),Data_Booking!$A:$A,"&lt;="&amp;TODAY())</x:f>
        <x:v>0</x:v>
      </x:c>
      <x:c r="G74" s="136" t="n">
        <x:f>IFERROR(F74/E74,0)</x:f>
        <x:v>0</x:v>
      </x:c>
      <x:c r="H74" s="128" t="n">
        <x:f>SUMIFS(Data_Booking!$D:$D,Data_Booking!$B:$B,$B74,Data_Booking!$A:$A,"&gt;="&amp;EOMONTH(TODAY(),-1)+1,Data_Booking!$A:$A,"&lt;="&amp;EOMONTH(TODAY(),0))</x:f>
        <x:v>0</x:v>
      </x:c>
    </x:row>
    <x:row r="75">
      <x:c r="A75" s="65"/>
      <x:c r="B75" s="52"/>
      <x:c r="C75" s="105"/>
      <x:c r="D75" s="52"/>
      <x:c r="E75" s="118"/>
      <x:c r="F75" s="118" t="n">
        <x:f>SUMIFS(Data_Booking!$D:$D,Data_Booking!$B:$B,$B75,Data_Booking!$A:$A,"&gt;="&amp;DATE(YEAR(TODAY()),1,1),Data_Booking!$A:$A,"&lt;="&amp;TODAY())</x:f>
        <x:v>0</x:v>
      </x:c>
      <x:c r="G75" s="136" t="n">
        <x:f>IFERROR(F75/E75,0)</x:f>
        <x:v>0</x:v>
      </x:c>
      <x:c r="H75" s="128" t="n">
        <x:f>SUMIFS(Data_Booking!$D:$D,Data_Booking!$B:$B,$B75,Data_Booking!$A:$A,"&gt;="&amp;EOMONTH(TODAY(),-1)+1,Data_Booking!$A:$A,"&lt;="&amp;EOMONTH(TODAY(),0))</x:f>
        <x:v>0</x:v>
      </x:c>
    </x:row>
    <x:row r="76">
      <x:c r="A76" s="65"/>
      <x:c r="B76" s="52"/>
      <x:c r="C76" s="105"/>
      <x:c r="D76" s="52"/>
      <x:c r="E76" s="118"/>
      <x:c r="F76" s="118" t="n">
        <x:f>SUMIFS(Data_Booking!$D:$D,Data_Booking!$B:$B,$B76,Data_Booking!$A:$A,"&gt;="&amp;DATE(YEAR(TODAY()),1,1),Data_Booking!$A:$A,"&lt;="&amp;TODAY())</x:f>
        <x:v>0</x:v>
      </x:c>
      <x:c r="G76" s="136" t="n">
        <x:f>IFERROR(F76/E76,0)</x:f>
        <x:v>0</x:v>
      </x:c>
      <x:c r="H76" s="128" t="n">
        <x:f>SUMIFS(Data_Booking!$D:$D,Data_Booking!$B:$B,$B76,Data_Booking!$A:$A,"&gt;="&amp;EOMONTH(TODAY(),-1)+1,Data_Booking!$A:$A,"&lt;="&amp;EOMONTH(TODAY(),0))</x:f>
        <x:v>0</x:v>
      </x:c>
    </x:row>
    <x:row r="77">
      <x:c r="A77" s="65"/>
      <x:c r="B77" s="52"/>
      <x:c r="C77" s="105"/>
      <x:c r="D77" s="52"/>
      <x:c r="E77" s="118"/>
      <x:c r="F77" s="118" t="n">
        <x:f>SUMIFS(Data_Booking!$D:$D,Data_Booking!$B:$B,$B77,Data_Booking!$A:$A,"&gt;="&amp;DATE(YEAR(TODAY()),1,1),Data_Booking!$A:$A,"&lt;="&amp;TODAY())</x:f>
        <x:v>0</x:v>
      </x:c>
      <x:c r="G77" s="136" t="n">
        <x:f>IFERROR(F77/E77,0)</x:f>
        <x:v>0</x:v>
      </x:c>
      <x:c r="H77" s="128" t="n">
        <x:f>SUMIFS(Data_Booking!$D:$D,Data_Booking!$B:$B,$B77,Data_Booking!$A:$A,"&gt;="&amp;EOMONTH(TODAY(),-1)+1,Data_Booking!$A:$A,"&lt;="&amp;EOMONTH(TODAY(),0))</x:f>
        <x:v>0</x:v>
      </x:c>
    </x:row>
    <x:row r="78">
      <x:c r="A78" s="65"/>
      <x:c r="B78" s="52"/>
      <x:c r="C78" s="105"/>
      <x:c r="D78" s="52"/>
      <x:c r="E78" s="118"/>
      <x:c r="F78" s="118" t="n">
        <x:f>SUMIFS(Data_Booking!$D:$D,Data_Booking!$B:$B,$B78,Data_Booking!$A:$A,"&gt;="&amp;DATE(YEAR(TODAY()),1,1),Data_Booking!$A:$A,"&lt;="&amp;TODAY())</x:f>
        <x:v>0</x:v>
      </x:c>
      <x:c r="G78" s="136" t="n">
        <x:f>IFERROR(F78/E78,0)</x:f>
        <x:v>0</x:v>
      </x:c>
      <x:c r="H78" s="128" t="n">
        <x:f>SUMIFS(Data_Booking!$D:$D,Data_Booking!$B:$B,$B78,Data_Booking!$A:$A,"&gt;="&amp;EOMONTH(TODAY(),-1)+1,Data_Booking!$A:$A,"&lt;="&amp;EOMONTH(TODAY(),0))</x:f>
        <x:v>0</x:v>
      </x:c>
    </x:row>
    <x:row r="79">
      <x:c r="A79" s="65"/>
      <x:c r="B79" s="52"/>
      <x:c r="C79" s="105"/>
      <x:c r="D79" s="52"/>
      <x:c r="E79" s="118"/>
      <x:c r="F79" s="118" t="n">
        <x:f>SUMIFS(Data_Booking!$D:$D,Data_Booking!$B:$B,$B79,Data_Booking!$A:$A,"&gt;="&amp;DATE(YEAR(TODAY()),1,1),Data_Booking!$A:$A,"&lt;="&amp;TODAY())</x:f>
        <x:v>0</x:v>
      </x:c>
      <x:c r="G79" s="136" t="n">
        <x:f>IFERROR(F79/E79,0)</x:f>
        <x:v>0</x:v>
      </x:c>
      <x:c r="H79" s="128" t="n">
        <x:f>SUMIFS(Data_Booking!$D:$D,Data_Booking!$B:$B,$B79,Data_Booking!$A:$A,"&gt;="&amp;EOMONTH(TODAY(),-1)+1,Data_Booking!$A:$A,"&lt;="&amp;EOMONTH(TODAY(),0))</x:f>
        <x:v>0</x:v>
      </x:c>
    </x:row>
    <x:row r="80">
      <x:c r="A80" s="65"/>
      <x:c r="B80" s="52"/>
      <x:c r="C80" s="105"/>
      <x:c r="D80" s="52"/>
      <x:c r="E80" s="118"/>
      <x:c r="F80" s="118" t="n">
        <x:f>SUMIFS(Data_Booking!$D:$D,Data_Booking!$B:$B,$B80,Data_Booking!$A:$A,"&gt;="&amp;DATE(YEAR(TODAY()),1,1),Data_Booking!$A:$A,"&lt;="&amp;TODAY())</x:f>
        <x:v>0</x:v>
      </x:c>
      <x:c r="G80" s="136" t="n">
        <x:f>IFERROR(F80/E80,0)</x:f>
        <x:v>0</x:v>
      </x:c>
      <x:c r="H80" s="128" t="n">
        <x:f>SUMIFS(Data_Booking!$D:$D,Data_Booking!$B:$B,$B80,Data_Booking!$A:$A,"&gt;="&amp;EOMONTH(TODAY(),-1)+1,Data_Booking!$A:$A,"&lt;="&amp;EOMONTH(TODAY(),0))</x:f>
        <x:v>0</x:v>
      </x:c>
    </x:row>
    <x:row r="81">
      <x:c r="A81" s="65"/>
      <x:c r="B81" s="52"/>
      <x:c r="C81" s="105"/>
      <x:c r="D81" s="52"/>
      <x:c r="E81" s="118"/>
      <x:c r="F81" s="118" t="n">
        <x:f>SUMIFS(Data_Booking!$D:$D,Data_Booking!$B:$B,$B81,Data_Booking!$A:$A,"&gt;="&amp;DATE(YEAR(TODAY()),1,1),Data_Booking!$A:$A,"&lt;="&amp;TODAY())</x:f>
        <x:v>0</x:v>
      </x:c>
      <x:c r="G81" s="136" t="n">
        <x:f>IFERROR(F81/E81,0)</x:f>
        <x:v>0</x:v>
      </x:c>
      <x:c r="H81" s="128" t="n">
        <x:f>SUMIFS(Data_Booking!$D:$D,Data_Booking!$B:$B,$B81,Data_Booking!$A:$A,"&gt;="&amp;EOMONTH(TODAY(),-1)+1,Data_Booking!$A:$A,"&lt;="&amp;EOMONTH(TODAY(),0))</x:f>
        <x:v>0</x:v>
      </x:c>
    </x:row>
    <x:row r="82">
      <x:c r="A82" s="65"/>
      <x:c r="B82" s="52"/>
      <x:c r="C82" s="105"/>
      <x:c r="D82" s="52"/>
      <x:c r="E82" s="118"/>
      <x:c r="F82" s="118" t="n">
        <x:f>SUMIFS(Data_Booking!$D:$D,Data_Booking!$B:$B,$B82,Data_Booking!$A:$A,"&gt;="&amp;DATE(YEAR(TODAY()),1,1),Data_Booking!$A:$A,"&lt;="&amp;TODAY())</x:f>
        <x:v>0</x:v>
      </x:c>
      <x:c r="G82" s="136" t="n">
        <x:f>IFERROR(F82/E82,0)</x:f>
        <x:v>0</x:v>
      </x:c>
      <x:c r="H82" s="128" t="n">
        <x:f>SUMIFS(Data_Booking!$D:$D,Data_Booking!$B:$B,$B82,Data_Booking!$A:$A,"&gt;="&amp;EOMONTH(TODAY(),-1)+1,Data_Booking!$A:$A,"&lt;="&amp;EOMONTH(TODAY(),0))</x:f>
        <x:v>0</x:v>
      </x:c>
    </x:row>
    <x:row r="83">
      <x:c r="A83" s="65"/>
      <x:c r="B83" s="52"/>
      <x:c r="C83" s="105"/>
      <x:c r="D83" s="52"/>
      <x:c r="E83" s="118"/>
      <x:c r="F83" s="118" t="n">
        <x:f>SUMIFS(Data_Booking!$D:$D,Data_Booking!$B:$B,$B83,Data_Booking!$A:$A,"&gt;="&amp;DATE(YEAR(TODAY()),1,1),Data_Booking!$A:$A,"&lt;="&amp;TODAY())</x:f>
        <x:v>0</x:v>
      </x:c>
      <x:c r="G83" s="136" t="n">
        <x:f>IFERROR(F83/E83,0)</x:f>
        <x:v>0</x:v>
      </x:c>
      <x:c r="H83" s="128" t="n">
        <x:f>SUMIFS(Data_Booking!$D:$D,Data_Booking!$B:$B,$B83,Data_Booking!$A:$A,"&gt;="&amp;EOMONTH(TODAY(),-1)+1,Data_Booking!$A:$A,"&lt;="&amp;EOMONTH(TODAY(),0))</x:f>
        <x:v>0</x:v>
      </x:c>
    </x:row>
    <x:row r="84">
      <x:c r="A84" s="65"/>
      <x:c r="B84" s="52"/>
      <x:c r="C84" s="105"/>
      <x:c r="D84" s="52"/>
      <x:c r="E84" s="118"/>
      <x:c r="F84" s="118" t="n">
        <x:f>SUMIFS(Data_Booking!$D:$D,Data_Booking!$B:$B,$B84,Data_Booking!$A:$A,"&gt;="&amp;DATE(YEAR(TODAY()),1,1),Data_Booking!$A:$A,"&lt;="&amp;TODAY())</x:f>
        <x:v>0</x:v>
      </x:c>
      <x:c r="G84" s="136" t="n">
        <x:f>IFERROR(F84/E84,0)</x:f>
        <x:v>0</x:v>
      </x:c>
      <x:c r="H84" s="128" t="n">
        <x:f>SUMIFS(Data_Booking!$D:$D,Data_Booking!$B:$B,$B84,Data_Booking!$A:$A,"&gt;="&amp;EOMONTH(TODAY(),-1)+1,Data_Booking!$A:$A,"&lt;="&amp;EOMONTH(TODAY(),0))</x:f>
        <x:v>0</x:v>
      </x:c>
    </x:row>
    <x:row r="85">
      <x:c r="A85" s="65"/>
      <x:c r="B85" s="52"/>
      <x:c r="C85" s="105"/>
      <x:c r="D85" s="52"/>
      <x:c r="E85" s="118"/>
      <x:c r="F85" s="118" t="n">
        <x:f>SUMIFS(Data_Booking!$D:$D,Data_Booking!$B:$B,$B85,Data_Booking!$A:$A,"&gt;="&amp;DATE(YEAR(TODAY()),1,1),Data_Booking!$A:$A,"&lt;="&amp;TODAY())</x:f>
        <x:v>0</x:v>
      </x:c>
      <x:c r="G85" s="136" t="n">
        <x:f>IFERROR(F85/E85,0)</x:f>
        <x:v>0</x:v>
      </x:c>
      <x:c r="H85" s="128" t="n">
        <x:f>SUMIFS(Data_Booking!$D:$D,Data_Booking!$B:$B,$B85,Data_Booking!$A:$A,"&gt;="&amp;EOMONTH(TODAY(),-1)+1,Data_Booking!$A:$A,"&lt;="&amp;EOMONTH(TODAY(),0))</x:f>
        <x:v>0</x:v>
      </x:c>
    </x:row>
    <x:row r="86">
      <x:c r="A86" s="65"/>
      <x:c r="B86" s="52"/>
      <x:c r="C86" s="105"/>
      <x:c r="D86" s="52"/>
      <x:c r="E86" s="118"/>
      <x:c r="F86" s="118" t="n">
        <x:f>SUMIFS(Data_Booking!$D:$D,Data_Booking!$B:$B,$B86,Data_Booking!$A:$A,"&gt;="&amp;DATE(YEAR(TODAY()),1,1),Data_Booking!$A:$A,"&lt;="&amp;TODAY())</x:f>
        <x:v>0</x:v>
      </x:c>
      <x:c r="G86" s="136" t="n">
        <x:f>IFERROR(F86/E86,0)</x:f>
        <x:v>0</x:v>
      </x:c>
      <x:c r="H86" s="128" t="n">
        <x:f>SUMIFS(Data_Booking!$D:$D,Data_Booking!$B:$B,$B86,Data_Booking!$A:$A,"&gt;="&amp;EOMONTH(TODAY(),-1)+1,Data_Booking!$A:$A,"&lt;="&amp;EOMONTH(TODAY(),0))</x:f>
        <x:v>0</x:v>
      </x:c>
    </x:row>
    <x:row r="87">
      <x:c r="A87" s="65"/>
      <x:c r="B87" s="52"/>
      <x:c r="C87" s="105"/>
      <x:c r="D87" s="52"/>
      <x:c r="E87" s="118"/>
      <x:c r="F87" s="118" t="n">
        <x:f>SUMIFS(Data_Booking!$D:$D,Data_Booking!$B:$B,$B87,Data_Booking!$A:$A,"&gt;="&amp;DATE(YEAR(TODAY()),1,1),Data_Booking!$A:$A,"&lt;="&amp;TODAY())</x:f>
        <x:v>0</x:v>
      </x:c>
      <x:c r="G87" s="136" t="n">
        <x:f>IFERROR(F87/E87,0)</x:f>
        <x:v>0</x:v>
      </x:c>
      <x:c r="H87" s="128" t="n">
        <x:f>SUMIFS(Data_Booking!$D:$D,Data_Booking!$B:$B,$B87,Data_Booking!$A:$A,"&gt;="&amp;EOMONTH(TODAY(),-1)+1,Data_Booking!$A:$A,"&lt;="&amp;EOMONTH(TODAY(),0))</x:f>
        <x:v>0</x:v>
      </x:c>
    </x:row>
    <x:row r="88">
      <x:c r="A88" s="65"/>
      <x:c r="B88" s="52"/>
      <x:c r="C88" s="105"/>
      <x:c r="D88" s="52"/>
      <x:c r="E88" s="118"/>
      <x:c r="F88" s="118" t="n">
        <x:f>SUMIFS(Data_Booking!$D:$D,Data_Booking!$B:$B,$B88,Data_Booking!$A:$A,"&gt;="&amp;DATE(YEAR(TODAY()),1,1),Data_Booking!$A:$A,"&lt;="&amp;TODAY())</x:f>
        <x:v>0</x:v>
      </x:c>
      <x:c r="G88" s="136" t="n">
        <x:f>IFERROR(F88/E88,0)</x:f>
        <x:v>0</x:v>
      </x:c>
      <x:c r="H88" s="128" t="n">
        <x:f>SUMIFS(Data_Booking!$D:$D,Data_Booking!$B:$B,$B88,Data_Booking!$A:$A,"&gt;="&amp;EOMONTH(TODAY(),-1)+1,Data_Booking!$A:$A,"&lt;="&amp;EOMONTH(TODAY(),0))</x:f>
        <x:v>0</x:v>
      </x:c>
    </x:row>
    <x:row r="89">
      <x:c r="A89" s="65"/>
      <x:c r="B89" s="52"/>
      <x:c r="C89" s="105"/>
      <x:c r="D89" s="52"/>
      <x:c r="E89" s="118"/>
      <x:c r="F89" s="118" t="n">
        <x:f>SUMIFS(Data_Booking!$D:$D,Data_Booking!$B:$B,$B89,Data_Booking!$A:$A,"&gt;="&amp;DATE(YEAR(TODAY()),1,1),Data_Booking!$A:$A,"&lt;="&amp;TODAY())</x:f>
        <x:v>0</x:v>
      </x:c>
      <x:c r="G89" s="136" t="n">
        <x:f>IFERROR(F89/E89,0)</x:f>
        <x:v>0</x:v>
      </x:c>
      <x:c r="H89" s="128" t="n">
        <x:f>SUMIFS(Data_Booking!$D:$D,Data_Booking!$B:$B,$B89,Data_Booking!$A:$A,"&gt;="&amp;EOMONTH(TODAY(),-1)+1,Data_Booking!$A:$A,"&lt;="&amp;EOMONTH(TODAY(),0))</x:f>
        <x:v>0</x:v>
      </x:c>
    </x:row>
    <x:row r="90">
      <x:c r="A90" s="65"/>
      <x:c r="B90" s="52"/>
      <x:c r="C90" s="105"/>
      <x:c r="D90" s="52"/>
      <x:c r="E90" s="118"/>
      <x:c r="F90" s="118" t="n">
        <x:f>SUMIFS(Data_Booking!$D:$D,Data_Booking!$B:$B,$B90,Data_Booking!$A:$A,"&gt;="&amp;DATE(YEAR(TODAY()),1,1),Data_Booking!$A:$A,"&lt;="&amp;TODAY())</x:f>
        <x:v>0</x:v>
      </x:c>
      <x:c r="G90" s="136" t="n">
        <x:f>IFERROR(F90/E90,0)</x:f>
        <x:v>0</x:v>
      </x:c>
      <x:c r="H90" s="128" t="n">
        <x:f>SUMIFS(Data_Booking!$D:$D,Data_Booking!$B:$B,$B90,Data_Booking!$A:$A,"&gt;="&amp;EOMONTH(TODAY(),-1)+1,Data_Booking!$A:$A,"&lt;="&amp;EOMONTH(TODAY(),0))</x:f>
        <x:v>0</x:v>
      </x:c>
    </x:row>
    <x:row r="91">
      <x:c r="A91" s="65"/>
      <x:c r="B91" s="52"/>
      <x:c r="C91" s="105"/>
      <x:c r="D91" s="52"/>
      <x:c r="E91" s="118"/>
      <x:c r="F91" s="118" t="n">
        <x:f>SUMIFS(Data_Booking!$D:$D,Data_Booking!$B:$B,$B91,Data_Booking!$A:$A,"&gt;="&amp;DATE(YEAR(TODAY()),1,1),Data_Booking!$A:$A,"&lt;="&amp;TODAY())</x:f>
        <x:v>0</x:v>
      </x:c>
      <x:c r="G91" s="136" t="n">
        <x:f>IFERROR(F91/E91,0)</x:f>
        <x:v>0</x:v>
      </x:c>
      <x:c r="H91" s="128" t="n">
        <x:f>SUMIFS(Data_Booking!$D:$D,Data_Booking!$B:$B,$B91,Data_Booking!$A:$A,"&gt;="&amp;EOMONTH(TODAY(),-1)+1,Data_Booking!$A:$A,"&lt;="&amp;EOMONTH(TODAY(),0))</x:f>
        <x:v>0</x:v>
      </x:c>
    </x:row>
    <x:row r="92">
      <x:c r="A92" s="65"/>
      <x:c r="B92" s="52"/>
      <x:c r="C92" s="105"/>
      <x:c r="D92" s="52"/>
      <x:c r="E92" s="118"/>
      <x:c r="F92" s="118" t="n">
        <x:f>SUMIFS(Data_Booking!$D:$D,Data_Booking!$B:$B,$B92,Data_Booking!$A:$A,"&gt;="&amp;DATE(YEAR(TODAY()),1,1),Data_Booking!$A:$A,"&lt;="&amp;TODAY())</x:f>
        <x:v>0</x:v>
      </x:c>
      <x:c r="G92" s="136" t="n">
        <x:f>IFERROR(F92/E92,0)</x:f>
        <x:v>0</x:v>
      </x:c>
      <x:c r="H92" s="128" t="n">
        <x:f>SUMIFS(Data_Booking!$D:$D,Data_Booking!$B:$B,$B92,Data_Booking!$A:$A,"&gt;="&amp;EOMONTH(TODAY(),-1)+1,Data_Booking!$A:$A,"&lt;="&amp;EOMONTH(TODAY(),0))</x:f>
        <x:v>0</x:v>
      </x:c>
    </x:row>
    <x:row r="93">
      <x:c r="A93" s="65"/>
      <x:c r="B93" s="52"/>
      <x:c r="C93" s="105"/>
      <x:c r="D93" s="52"/>
      <x:c r="E93" s="118"/>
      <x:c r="F93" s="118" t="n">
        <x:f>SUMIFS(Data_Booking!$D:$D,Data_Booking!$B:$B,$B93,Data_Booking!$A:$A,"&gt;="&amp;DATE(YEAR(TODAY()),1,1),Data_Booking!$A:$A,"&lt;="&amp;TODAY())</x:f>
        <x:v>0</x:v>
      </x:c>
      <x:c r="G93" s="136" t="n">
        <x:f>IFERROR(F93/E93,0)</x:f>
        <x:v>0</x:v>
      </x:c>
      <x:c r="H93" s="128" t="n">
        <x:f>SUMIFS(Data_Booking!$D:$D,Data_Booking!$B:$B,$B93,Data_Booking!$A:$A,"&gt;="&amp;EOMONTH(TODAY(),-1)+1,Data_Booking!$A:$A,"&lt;="&amp;EOMONTH(TODAY(),0))</x:f>
        <x:v>0</x:v>
      </x:c>
    </x:row>
    <x:row r="94">
      <x:c r="A94" s="65"/>
      <x:c r="B94" s="52"/>
      <x:c r="C94" s="105"/>
      <x:c r="D94" s="52"/>
      <x:c r="E94" s="118"/>
      <x:c r="F94" s="118" t="n">
        <x:f>SUMIFS(Data_Booking!$D:$D,Data_Booking!$B:$B,$B94,Data_Booking!$A:$A,"&gt;="&amp;DATE(YEAR(TODAY()),1,1),Data_Booking!$A:$A,"&lt;="&amp;TODAY())</x:f>
        <x:v>0</x:v>
      </x:c>
      <x:c r="G94" s="136" t="n">
        <x:f>IFERROR(F94/E94,0)</x:f>
        <x:v>0</x:v>
      </x:c>
      <x:c r="H94" s="128" t="n">
        <x:f>SUMIFS(Data_Booking!$D:$D,Data_Booking!$B:$B,$B94,Data_Booking!$A:$A,"&gt;="&amp;EOMONTH(TODAY(),-1)+1,Data_Booking!$A:$A,"&lt;="&amp;EOMONTH(TODAY(),0))</x:f>
        <x:v>0</x:v>
      </x:c>
    </x:row>
    <x:row r="95">
      <x:c r="A95" s="65"/>
      <x:c r="B95" s="52"/>
      <x:c r="C95" s="105"/>
      <x:c r="D95" s="52"/>
      <x:c r="E95" s="118"/>
      <x:c r="F95" s="118" t="n">
        <x:f>SUMIFS(Data_Booking!$D:$D,Data_Booking!$B:$B,$B95,Data_Booking!$A:$A,"&gt;="&amp;DATE(YEAR(TODAY()),1,1),Data_Booking!$A:$A,"&lt;="&amp;TODAY())</x:f>
        <x:v>0</x:v>
      </x:c>
      <x:c r="G95" s="136" t="n">
        <x:f>IFERROR(F95/E95,0)</x:f>
        <x:v>0</x:v>
      </x:c>
      <x:c r="H95" s="128" t="n">
        <x:f>SUMIFS(Data_Booking!$D:$D,Data_Booking!$B:$B,$B95,Data_Booking!$A:$A,"&gt;="&amp;EOMONTH(TODAY(),-1)+1,Data_Booking!$A:$A,"&lt;="&amp;EOMONTH(TODAY(),0))</x:f>
        <x:v>0</x:v>
      </x:c>
    </x:row>
    <x:row r="96">
      <x:c r="A96" s="65"/>
      <x:c r="B96" s="52"/>
      <x:c r="C96" s="105"/>
      <x:c r="D96" s="52"/>
      <x:c r="E96" s="118"/>
      <x:c r="F96" s="118" t="n">
        <x:f>SUMIFS(Data_Booking!$D:$D,Data_Booking!$B:$B,$B96,Data_Booking!$A:$A,"&gt;="&amp;DATE(YEAR(TODAY()),1,1),Data_Booking!$A:$A,"&lt;="&amp;TODAY())</x:f>
        <x:v>0</x:v>
      </x:c>
      <x:c r="G96" s="136" t="n">
        <x:f>IFERROR(F96/E96,0)</x:f>
        <x:v>0</x:v>
      </x:c>
      <x:c r="H96" s="128" t="n">
        <x:f>SUMIFS(Data_Booking!$D:$D,Data_Booking!$B:$B,$B96,Data_Booking!$A:$A,"&gt;="&amp;EOMONTH(TODAY(),-1)+1,Data_Booking!$A:$A,"&lt;="&amp;EOMONTH(TODAY(),0))</x:f>
        <x:v>0</x:v>
      </x:c>
    </x:row>
    <x:row r="97">
      <x:c r="A97" s="65"/>
      <x:c r="B97" s="52"/>
      <x:c r="C97" s="105"/>
      <x:c r="D97" s="52"/>
      <x:c r="E97" s="118"/>
      <x:c r="F97" s="118" t="n">
        <x:f>SUMIFS(Data_Booking!$D:$D,Data_Booking!$B:$B,$B97,Data_Booking!$A:$A,"&gt;="&amp;DATE(YEAR(TODAY()),1,1),Data_Booking!$A:$A,"&lt;="&amp;TODAY())</x:f>
        <x:v>0</x:v>
      </x:c>
      <x:c r="G97" s="136" t="n">
        <x:f>IFERROR(F97/E97,0)</x:f>
        <x:v>0</x:v>
      </x:c>
      <x:c r="H97" s="128" t="n">
        <x:f>SUMIFS(Data_Booking!$D:$D,Data_Booking!$B:$B,$B97,Data_Booking!$A:$A,"&gt;="&amp;EOMONTH(TODAY(),-1)+1,Data_Booking!$A:$A,"&lt;="&amp;EOMONTH(TODAY(),0))</x:f>
        <x:v>0</x:v>
      </x:c>
    </x:row>
    <x:row r="98">
      <x:c r="A98" s="65"/>
      <x:c r="B98" s="52"/>
      <x:c r="C98" s="105"/>
      <x:c r="D98" s="52"/>
      <x:c r="E98" s="118"/>
      <x:c r="F98" s="118" t="n">
        <x:f>SUMIFS(Data_Booking!$D:$D,Data_Booking!$B:$B,$B98,Data_Booking!$A:$A,"&gt;="&amp;DATE(YEAR(TODAY()),1,1),Data_Booking!$A:$A,"&lt;="&amp;TODAY())</x:f>
        <x:v>0</x:v>
      </x:c>
      <x:c r="G98" s="136" t="n">
        <x:f>IFERROR(F98/E98,0)</x:f>
        <x:v>0</x:v>
      </x:c>
      <x:c r="H98" s="128" t="n">
        <x:f>SUMIFS(Data_Booking!$D:$D,Data_Booking!$B:$B,$B98,Data_Booking!$A:$A,"&gt;="&amp;EOMONTH(TODAY(),-1)+1,Data_Booking!$A:$A,"&lt;="&amp;EOMONTH(TODAY(),0))</x:f>
        <x:v>0</x:v>
      </x:c>
    </x:row>
    <x:row r="99">
      <x:c r="A99" s="65"/>
      <x:c r="B99" s="52"/>
      <x:c r="C99" s="105"/>
      <x:c r="D99" s="52"/>
      <x:c r="E99" s="118"/>
      <x:c r="F99" s="118" t="n">
        <x:f>SUMIFS(Data_Booking!$D:$D,Data_Booking!$B:$B,$B99,Data_Booking!$A:$A,"&gt;="&amp;DATE(YEAR(TODAY()),1,1),Data_Booking!$A:$A,"&lt;="&amp;TODAY())</x:f>
        <x:v>0</x:v>
      </x:c>
      <x:c r="G99" s="136" t="n">
        <x:f>IFERROR(F99/E99,0)</x:f>
        <x:v>0</x:v>
      </x:c>
      <x:c r="H99" s="128" t="n">
        <x:f>SUMIFS(Data_Booking!$D:$D,Data_Booking!$B:$B,$B99,Data_Booking!$A:$A,"&gt;="&amp;EOMONTH(TODAY(),-1)+1,Data_Booking!$A:$A,"&lt;="&amp;EOMONTH(TODAY(),0))</x:f>
        <x:v>0</x:v>
      </x:c>
    </x:row>
    <x:row r="100">
      <x:c r="A100" s="66"/>
      <x:c r="B100" s="67"/>
      <x:c r="C100" s="106"/>
      <x:c r="D100" s="67"/>
      <x:c r="E100" s="119"/>
      <x:c r="F100" s="119" t="n">
        <x:f>SUMIFS(Data_Booking!$D:$D,Data_Booking!$B:$B,$B100,Data_Booking!$A:$A,"&gt;="&amp;DATE(YEAR(TODAY()),1,1),Data_Booking!$A:$A,"&lt;="&amp;TODAY())</x:f>
        <x:v>0</x:v>
      </x:c>
      <x:c r="G100" s="138" t="n">
        <x:f>IFERROR(F100/E100,0)</x:f>
        <x:v>0</x:v>
      </x:c>
      <x:c r="H100" s="130" t="n">
        <x:f>SUMIFS(Data_Booking!$D:$D,Data_Booking!$B:$B,$B100,Data_Booking!$A:$A,"&gt;="&amp;EOMONTH(TODAY(),-1)+1,Data_Booking!$A:$A,"&lt;="&amp;EOMONTH(TODAY(),0))</x:f>
        <x:v>0</x:v>
      </x:c>
    </x:row>
  </x:sheetData>
  <x:conditionalFormatting sqref="G2:G100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2">
    <x:dataValidation type="list" sqref="E2:E208">
      <x:formula1>"Yes,No"</x:formula1>
    </x:dataValidation>
    <x:dataValidation type="list" sqref="D2:D100">
      <x:formula1>"Active,Onboarding,Pending,Inactive"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9c27646a1f47aa"/>
  </x:tableParts>
</x:worksheet>
</file>

<file path=xl/worksheets/sheet4.xml><?xml version="1.0" encoding="utf-8"?>
<x:worksheet xmlns:x="http://schemas.openxmlformats.org/spreadsheetml/2006/main">
  <x:sheetFormatPr defaultColWidth="15.1796875" defaultRowHeight="14.5"/>
  <x:cols>
    <x:col min="1" max="1" width="11" style="2" customWidth="1"/>
    <x:col min="2" max="2" width="20" style="2" customWidth="1"/>
    <x:col min="3" max="3" width="42" style="2" customWidth="1"/>
    <x:col min="4" max="4" width="34" style="2" customWidth="1"/>
    <x:col min="5" max="5" width="42" style="2" customWidth="1"/>
  </x:cols>
  <x:sheetData>
    <x:row r="1" ht="33.5" customHeight="1">
      <x:c r="A1" s="10" t="s">
        <x:v>32</x:v>
      </x:c>
      <x:c r="B1" s="10" t="s">
        <x:v>33</x:v>
      </x:c>
      <x:c r="C1" s="10" t="s">
        <x:v>34</x:v>
      </x:c>
      <x:c r="D1" s="10" t="s">
        <x:v>35</x:v>
      </x:c>
      <x:c r="E1" s="10" t="s">
        <x:v>36</x:v>
      </x:c>
    </x:row>
    <x:row r="2" ht="35" customHeight="1">
      <x:c r="A2" s="4" t="s">
        <x:v>37</x:v>
      </x:c>
      <x:c r="B2" s="5" t="s">
        <x:v>38</x:v>
      </x:c>
      <x:c r="C2" s="6" t="s">
        <x:v>39</x:v>
      </x:c>
      <x:c r="D2" s="6" t="s">
        <x:v>40</x:v>
      </x:c>
      <x:c r="E2" s="6" t="s">
        <x:v>41</x:v>
      </x:c>
    </x:row>
    <x:row r="3" ht="35" customHeight="1">
      <x:c r="A3" s="4" t="s">
        <x:v>42</x:v>
      </x:c>
      <x:c r="B3" s="5" t="s">
        <x:v>43</x:v>
      </x:c>
      <x:c r="C3" s="6" t="s">
        <x:v>44</x:v>
      </x:c>
      <x:c r="D3" s="6" t="s">
        <x:v>45</x:v>
      </x:c>
      <x:c r="E3" s="6" t="s">
        <x:v>46</x:v>
      </x:c>
    </x:row>
    <x:row r="4" ht="35" customHeight="1">
      <x:c r="A4" s="4" t="s">
        <x:v>47</x:v>
      </x:c>
      <x:c r="B4" s="5" t="s">
        <x:v>48</x:v>
      </x:c>
      <x:c r="C4" s="6" t="s">
        <x:v>49</x:v>
      </x:c>
      <x:c r="D4" s="6" t="s">
        <x:v>50</x:v>
      </x:c>
      <x:c r="E4" s="6" t="s">
        <x:v>51</x:v>
      </x:c>
    </x:row>
    <x:row r="5" ht="23.5" customHeight="1">
      <x:c r="A5" s="1"/>
      <x:c r="B5" s="1"/>
      <x:c r="C5" s="3"/>
      <x:c r="D5" s="7"/>
      <x:c r="E5" s="1"/>
    </x:row>
    <x:row r="6" ht="23.5" customHeight="1">
      <x:c r="A6" s="1"/>
      <x:c r="B6" s="1"/>
      <x:c r="C6" s="1"/>
      <x:c r="E6" s="1"/>
    </x:row>
  </x:sheetData>
  <x:pageMargins left="0.7" right="0.7" top="0.75" bottom="0.75" header="0.3" footer="0.3"/>
  <x:tableParts count="1">
    <x:tablePart xmlns:r="http://schemas.openxmlformats.org/officeDocument/2006/relationships" r:id="R06ed676991f042cc"/>
  </x:tableParts>
</x:worksheet>
</file>

<file path=xl/worksheets/sheet5.xml><?xml version="1.0" encoding="utf-8"?>
<x:worksheet xmlns:x="http://schemas.openxmlformats.org/spreadsheetml/2006/main">
  <x:sheetFormatPr defaultRowHeight="14.5"/>
  <x:cols>
    <x:col min="1" max="1" width="15" customWidth="1"/>
    <x:col min="2" max="2" width="18" customWidth="1"/>
    <x:col min="3" max="3" width="72.81640625" customWidth="1"/>
    <x:col min="4" max="4" width="12" customWidth="1"/>
    <x:col min="5" max="5" width="18" customWidth="1"/>
    <x:col min="6" max="6" width="12" customWidth="1"/>
  </x:cols>
  <x:sheetData>
    <x:row r="1">
      <x:c r="A1" s="11" t="s">
        <x:v>52</x:v>
      </x:c>
      <x:c r="B1" s="11" t="s">
        <x:v>53</x:v>
      </x:c>
      <x:c r="C1" s="11" t="s">
        <x:v>54</x:v>
      </x:c>
      <x:c r="D1" s="11" t="s">
        <x:v>55</x:v>
      </x:c>
      <x:c r="E1" s="11" t="s">
        <x:v>56</x:v>
      </x:c>
      <x:c r="F1" s="11" t="s">
        <x:v>5</x:v>
      </x:c>
    </x:row>
    <x:row r="2">
      <x:c r="A2" t="s">
        <x:v>57</x:v>
      </x:c>
      <x:c r="B2" t="s">
        <x:v>58</x:v>
      </x:c>
      <x:c r="C2" s="12" t="s">
        <x:v>59</x:v>
      </x:c>
      <x:c r="D2" t="s">
        <x:v>60</x:v>
      </x:c>
      <x:c r="E2" t="s">
        <x:v>11</x:v>
      </x:c>
      <x:c r="F2" t="s">
        <x:v>24</x:v>
      </x:c>
    </x:row>
    <x:row r="3">
      <x:c r="A3" t="s">
        <x:v>61</x:v>
      </x:c>
      <x:c r="B3" t="s">
        <x:v>62</x:v>
      </x:c>
      <x:c r="C3" t="s">
        <x:v>63</x:v>
      </x:c>
      <x:c r="D3" t="s">
        <x:v>60</x:v>
      </x:c>
      <x:c r="E3" t="s">
        <x:v>11</x:v>
      </x:c>
      <x:c r="F3" t="s">
        <x:v>24</x:v>
      </x:c>
    </x:row>
    <x:row r="4">
      <x:c r="A4" t="s">
        <x:v>64</x:v>
      </x:c>
      <x:c r="B4" s="12" t="s">
        <x:v>65</x:v>
      </x:c>
      <x:c r="C4" s="12" t="s">
        <x:v>66</x:v>
      </x:c>
      <x:c r="D4" s="12" t="s">
        <x:v>67</x:v>
      </x:c>
      <x:c r="E4" s="12" t="s">
        <x:v>11</x:v>
      </x:c>
      <x:c r="F4" t="s">
        <x:v>24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8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513" t="str">
        <x:v>YVF Adoption Dashboard – CS HAD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  <x:c r="N1" s="513"/>
    </x:row>
    <x:row r="2" ht="20" customHeight="1">
      <x:c r="A2" s="513"/>
      <x:c r="B2" s="513"/>
      <x:c r="C2" s="513"/>
      <x:c r="D2" s="513"/>
      <x:c r="E2" s="513"/>
      <x:c r="F2" s="513"/>
      <x:c r="G2" s="513"/>
      <x:c r="H2" s="513"/>
      <x:c r="I2" s="513"/>
      <x:c r="J2" s="513"/>
      <x:c r="K2" s="513"/>
      <x:c r="L2" s="513"/>
      <x:c r="M2" s="513"/>
      <x:c r="N2" s="513"/>
    </x:row>
    <x:row r="3" ht="20" customHeight="1">
      <x:c r="A3" s="514" t="str">
        <x:v>Management overview | Priority KPIs first | No company logo</x:v>
      </x:c>
      <x:c r="B3" s="514"/>
      <x:c r="C3" s="514"/>
      <x:c r="D3" s="514"/>
      <x:c r="E3" s="514"/>
      <x:c r="F3" s="514"/>
      <x:c r="G3" s="514"/>
      <x:c r="H3" s="514"/>
      <x:c r="I3" s="514"/>
      <x:c r="J3" s="514"/>
      <x:c r="K3" s="514"/>
      <x:c r="L3" s="514"/>
      <x:c r="M3" s="514"/>
      <x:c r="N3" s="514"/>
    </x:row>
    <x:row r="4" ht="20" customHeight="1">
      <x:c r="A4" s="609"/>
      <x:c r="B4" s="609"/>
      <x:c r="C4" s="609"/>
      <x:c r="D4" s="609"/>
      <x:c r="E4" s="609"/>
      <x:c r="F4" s="609"/>
      <x:c r="G4" s="609"/>
      <x:c r="H4" s="609"/>
      <x:c r="I4" s="609"/>
      <x:c r="J4" s="609"/>
      <x:c r="K4" s="609"/>
      <x:c r="L4" s="609"/>
      <x:c r="M4" s="609"/>
      <x:c r="N4" s="609"/>
    </x:row>
    <x:row r="5" ht="20" customHeight="1">
      <x:c r="A5" s="516" t="str">
        <x:v>ACTIVE CUSTOMERS</x:v>
      </x:c>
      <x:c r="B5" s="517"/>
      <x:c r="C5" s="518"/>
      <x:c r="D5" s="609"/>
      <x:c r="E5" s="519" t="str">
        <x:v>ADOPTION RATE</x:v>
      </x:c>
      <x:c r="F5" s="520"/>
      <x:c r="G5" s="521"/>
      <x:c r="H5" s="609"/>
      <x:c r="I5" s="522" t="str">
        <x:v>BOOKING ACTUAL YTD</x:v>
      </x:c>
      <x:c r="J5" s="523"/>
      <x:c r="K5" s="524"/>
      <x:c r="L5" s="609"/>
      <x:c r="M5" s="525" t="str">
        <x:v>TARGET ACHIEVEMENT</x:v>
      </x:c>
      <x:c r="N5" s="526"/>
    </x:row>
    <x:row r="6" ht="20" customHeight="1">
      <x:c r="A6" s="527" t="n">
        <x:f>COUNTIF(Data_CustomerActive!$D$2:$D$100,"Active")</x:f>
        <x:v>5</x:v>
      </x:c>
      <x:c r="B6" s="528"/>
      <x:c r="C6" s="529"/>
      <x:c r="D6" s="609"/>
      <x:c r="E6" s="530" t="n">
        <x:f>IFERROR(COUNTIF(Data_CustomerActive!$D$2:$D$100,"Active")/COUNTA(Data_CustomerActive!$A$2:$A$100),0)</x:f>
        <x:v>1</x:v>
      </x:c>
      <x:c r="F6" s="531"/>
      <x:c r="G6" s="532"/>
      <x:c r="H6" s="609"/>
      <x:c r="I6" s="533" t="n">
        <x:f>SUM(Data_CustomerActive!$F$2:$F$100)</x:f>
        <x:v>20</x:v>
      </x:c>
      <x:c r="J6" s="534"/>
      <x:c r="K6" s="535"/>
      <x:c r="L6" s="609"/>
      <x:c r="M6" s="536" t="n">
        <x:f>IFERROR(SUM(Data_CustomerActive!$F$2:$F$100)/SUM(Data_CustomerActive!$E$2:$E$100),0)</x:f>
        <x:v>0.044444444444444446</x:v>
      </x:c>
      <x:c r="N6" s="537"/>
    </x:row>
    <x:row r="7" ht="20" customHeight="1">
      <x:c r="A7" s="538"/>
      <x:c r="B7" s="539"/>
      <x:c r="C7" s="540"/>
      <x:c r="D7" s="609"/>
      <x:c r="E7" s="541"/>
      <x:c r="F7" s="542"/>
      <x:c r="G7" s="543"/>
      <x:c r="H7" s="609"/>
      <x:c r="I7" s="544"/>
      <x:c r="J7" s="545"/>
      <x:c r="K7" s="546"/>
      <x:c r="L7" s="609"/>
      <x:c r="M7" s="547"/>
      <x:c r="N7" s="548"/>
    </x:row>
    <x:row r="8" ht="20" customHeight="1">
      <x:c r="A8" s="549"/>
      <x:c r="B8" s="550"/>
      <x:c r="C8" s="551"/>
      <x:c r="D8" s="609"/>
      <x:c r="E8" s="552"/>
      <x:c r="F8" s="553"/>
      <x:c r="G8" s="554"/>
      <x:c r="H8" s="609"/>
      <x:c r="I8" s="555"/>
      <x:c r="J8" s="556"/>
      <x:c r="K8" s="557"/>
      <x:c r="L8" s="609"/>
      <x:c r="M8" s="558"/>
      <x:c r="N8" s="559"/>
    </x:row>
    <x:row r="9" ht="20" customHeight="1">
      <x:c r="A9" s="609"/>
      <x:c r="B9" s="609"/>
      <x:c r="C9" s="609"/>
      <x:c r="D9" s="609"/>
      <x:c r="E9" s="609"/>
      <x:c r="F9" s="609"/>
      <x:c r="G9" s="609"/>
      <x:c r="H9" s="609"/>
      <x:c r="I9" s="609"/>
      <x:c r="J9" s="609"/>
      <x:c r="K9" s="609"/>
      <x:c r="L9" s="609"/>
      <x:c r="M9" s="609"/>
      <x:c r="N9" s="609"/>
    </x:row>
    <x:row r="10" ht="20" customHeight="1">
      <x:c r="A10" s="560" t="str">
        <x:v>BOOKING THIS MONTH</x:v>
      </x:c>
      <x:c r="B10" s="561"/>
      <x:c r="C10" s="562"/>
      <x:c r="D10" s="609"/>
      <x:c r="E10" s="560" t="str">
        <x:v>AVG. PROCESSING TIME</x:v>
      </x:c>
      <x:c r="F10" s="561"/>
      <x:c r="G10" s="562"/>
      <x:c r="H10" s="609"/>
      <x:c r="I10" s="563" t="str">
        <x:v>USER ISSUE REPORTS</x:v>
      </x:c>
      <x:c r="J10" s="564"/>
      <x:c r="K10" s="565"/>
      <x:c r="L10" s="609"/>
      <x:c r="M10" s="566" t="str">
        <x:v>ENHANCEMENT REQUESTS</x:v>
      </x:c>
      <x:c r="N10" s="567"/>
    </x:row>
    <x:row r="11" ht="20" customHeight="1">
      <x:c r="A11" s="568" t="n">
        <x:f>SUM(Data_CustomerActive!$H$2:$H$100)</x:f>
        <x:v>20</x:v>
      </x:c>
      <x:c r="B11" s="569"/>
      <x:c r="C11" s="570"/>
      <x:c r="D11" s="609"/>
      <x:c r="E11" s="571" t="n">
        <x:f>IFERROR(AVERAGE(Data_Booking!$E$2:$E$1000),0)</x:f>
        <x:v>4.916666666666667</x:v>
      </x:c>
      <x:c r="F11" s="569"/>
      <x:c r="G11" s="570"/>
      <x:c r="H11" s="609"/>
      <x:c r="I11" s="572" t="n">
        <x:f>COUNTIF(Data_Booking!$G$2:$G$1000,"Yes")</x:f>
        <x:v>5</x:v>
      </x:c>
      <x:c r="J11" s="573"/>
      <x:c r="K11" s="574"/>
      <x:c r="L11" s="609"/>
      <x:c r="M11" s="575" t="n">
        <x:f>COUNTA(Data_Issue!$A$2:$A$100)</x:f>
        <x:v>3</x:v>
      </x:c>
      <x:c r="N11" s="576"/>
    </x:row>
    <x:row r="12" ht="20" customHeight="1">
      <x:c r="A12" s="577"/>
      <x:c r="B12" s="578"/>
      <x:c r="C12" s="579"/>
      <x:c r="D12" s="609"/>
      <x:c r="E12" s="577"/>
      <x:c r="F12" s="578"/>
      <x:c r="G12" s="579"/>
      <x:c r="H12" s="609"/>
      <x:c r="I12" s="580"/>
      <x:c r="J12" s="581"/>
      <x:c r="K12" s="582"/>
      <x:c r="L12" s="609"/>
      <x:c r="M12" s="583"/>
      <x:c r="N12" s="584"/>
    </x:row>
    <x:row r="13" ht="20" customHeight="1">
      <x:c r="A13" s="585"/>
      <x:c r="B13" s="586"/>
      <x:c r="C13" s="587"/>
      <x:c r="D13" s="609"/>
      <x:c r="E13" s="585"/>
      <x:c r="F13" s="586"/>
      <x:c r="G13" s="587"/>
      <x:c r="H13" s="609"/>
      <x:c r="I13" s="588"/>
      <x:c r="J13" s="589"/>
      <x:c r="K13" s="590"/>
      <x:c r="L13" s="609"/>
      <x:c r="M13" s="591"/>
      <x:c r="N13" s="592"/>
    </x:row>
    <x:row r="14" ht="20" customHeight="1">
      <x:c r="A14" s="609"/>
      <x:c r="B14" s="609"/>
      <x:c r="C14" s="609"/>
      <x:c r="D14" s="609"/>
      <x:c r="E14" s="609"/>
      <x:c r="F14" s="609"/>
      <x:c r="G14" s="609"/>
      <x:c r="H14" s="609"/>
      <x:c r="I14" s="609"/>
      <x:c r="J14" s="609"/>
      <x:c r="K14" s="609"/>
      <x:c r="L14" s="609"/>
      <x:c r="M14" s="609"/>
      <x:c r="N14" s="609"/>
    </x:row>
    <x:row r="15" ht="20" customHeight="1">
      <x:c r="A15" s="593" t="str">
        <x:v>ACTUAL VS. TARGET BY CUSTOMER</x:v>
      </x:c>
      <x:c r="B15" s="593"/>
      <x:c r="C15" s="593"/>
      <x:c r="D15" s="593"/>
      <x:c r="E15" s="593"/>
      <x:c r="F15" s="593"/>
      <x:c r="G15" s="593"/>
      <x:c r="H15" s="609"/>
      <x:c r="I15" s="593" t="str">
        <x:v>BOOKING VOLUME BY CUSTOMER</x:v>
      </x:c>
      <x:c r="J15" s="593"/>
      <x:c r="K15" s="593"/>
      <x:c r="L15" s="593"/>
      <x:c r="M15" s="593"/>
      <x:c r="N15" s="593"/>
    </x:row>
    <x:row r="16" ht="20" customHeight="1">
      <x:c r="A16" s="609"/>
      <x:c r="B16" s="609"/>
      <x:c r="C16" s="609"/>
      <x:c r="D16" s="609"/>
      <x:c r="E16" s="609"/>
      <x:c r="F16" s="609"/>
      <x:c r="G16" s="609"/>
      <x:c r="H16" s="609"/>
      <x:c r="I16" s="609"/>
      <x:c r="J16" s="609"/>
      <x:c r="K16" s="609"/>
      <x:c r="L16" s="609"/>
      <x:c r="M16" s="609"/>
      <x:c r="N16" s="609"/>
    </x:row>
    <x:row r="17" ht="20" customHeight="1">
      <x:c r="A17" s="609"/>
      <x:c r="B17" s="609"/>
      <x:c r="C17" s="609"/>
      <x:c r="D17" s="609"/>
      <x:c r="E17" s="609"/>
      <x:c r="F17" s="609"/>
      <x:c r="G17" s="609"/>
      <x:c r="H17" s="609"/>
      <x:c r="I17" s="609"/>
      <x:c r="J17" s="609"/>
      <x:c r="K17" s="609"/>
      <x:c r="L17" s="609"/>
      <x:c r="M17" s="609"/>
      <x:c r="N17" s="609"/>
    </x:row>
    <x:row r="18" ht="20" customHeight="1">
      <x:c r="A18" s="609"/>
      <x:c r="B18" s="609"/>
      <x:c r="C18" s="609"/>
      <x:c r="D18" s="609"/>
      <x:c r="E18" s="609"/>
      <x:c r="F18" s="609"/>
      <x:c r="G18" s="609"/>
      <x:c r="H18" s="609"/>
      <x:c r="I18" s="609"/>
      <x:c r="J18" s="609"/>
      <x:c r="K18" s="609"/>
      <x:c r="L18" s="609"/>
      <x:c r="M18" s="609"/>
      <x:c r="N18" s="609"/>
    </x:row>
    <x:row r="19" ht="20" customHeight="1">
      <x:c r="A19" s="609"/>
      <x:c r="B19" s="609"/>
      <x:c r="C19" s="609"/>
      <x:c r="D19" s="609"/>
      <x:c r="E19" s="609"/>
      <x:c r="F19" s="609"/>
      <x:c r="G19" s="609"/>
      <x:c r="H19" s="609"/>
      <x:c r="I19" s="609"/>
      <x:c r="J19" s="609"/>
      <x:c r="K19" s="609"/>
      <x:c r="L19" s="609"/>
      <x:c r="M19" s="609"/>
      <x:c r="N19" s="609"/>
    </x:row>
    <x:row r="20" ht="20" customHeight="1">
      <x:c r="A20" s="609"/>
      <x:c r="B20" s="609"/>
      <x:c r="C20" s="609"/>
      <x:c r="D20" s="609"/>
      <x:c r="E20" s="609"/>
      <x:c r="F20" s="609"/>
      <x:c r="G20" s="609"/>
      <x:c r="H20" s="609"/>
      <x:c r="I20" s="609"/>
      <x:c r="J20" s="609"/>
      <x:c r="K20" s="609"/>
      <x:c r="L20" s="609"/>
      <x:c r="M20" s="609"/>
      <x:c r="N20" s="609"/>
    </x:row>
    <x:row r="21" ht="20" customHeight="1">
      <x:c r="A21" s="609"/>
      <x:c r="B21" s="609"/>
      <x:c r="C21" s="609"/>
      <x:c r="D21" s="609"/>
      <x:c r="E21" s="609"/>
      <x:c r="F21" s="609"/>
      <x:c r="G21" s="609"/>
      <x:c r="H21" s="609"/>
      <x:c r="I21" s="609"/>
      <x:c r="J21" s="609"/>
      <x:c r="K21" s="609"/>
      <x:c r="L21" s="609"/>
      <x:c r="M21" s="609"/>
      <x:c r="N21" s="609"/>
    </x:row>
    <x:row r="22" ht="20" customHeight="1">
      <x:c r="A22" s="609"/>
      <x:c r="B22" s="609"/>
      <x:c r="C22" s="609"/>
      <x:c r="D22" s="609"/>
      <x:c r="E22" s="609"/>
      <x:c r="F22" s="609"/>
      <x:c r="G22" s="609"/>
      <x:c r="H22" s="609"/>
      <x:c r="I22" s="609"/>
      <x:c r="J22" s="609"/>
      <x:c r="K22" s="609"/>
      <x:c r="L22" s="609"/>
      <x:c r="M22" s="609"/>
      <x:c r="N22" s="609"/>
    </x:row>
    <x:row r="23" ht="20" customHeight="1">
      <x:c r="A23" s="609"/>
      <x:c r="B23" s="609"/>
      <x:c r="C23" s="609"/>
      <x:c r="D23" s="609"/>
      <x:c r="E23" s="609"/>
      <x:c r="F23" s="609"/>
      <x:c r="G23" s="609"/>
      <x:c r="H23" s="609"/>
      <x:c r="I23" s="609"/>
      <x:c r="J23" s="609"/>
      <x:c r="K23" s="609"/>
      <x:c r="L23" s="609"/>
      <x:c r="M23" s="609"/>
      <x:c r="N23" s="609"/>
    </x:row>
    <x:row r="24" ht="20" customHeight="1">
      <x:c r="A24" s="609"/>
      <x:c r="B24" s="609"/>
      <x:c r="C24" s="609"/>
      <x:c r="D24" s="609"/>
      <x:c r="E24" s="609"/>
      <x:c r="F24" s="609"/>
      <x:c r="G24" s="609"/>
      <x:c r="H24" s="609"/>
      <x:c r="I24" s="609"/>
      <x:c r="J24" s="609"/>
      <x:c r="K24" s="609"/>
      <x:c r="L24" s="609"/>
      <x:c r="M24" s="609"/>
      <x:c r="N24" s="609"/>
    </x:row>
    <x:row r="25" ht="20" customHeight="1">
      <x:c r="A25" s="609"/>
      <x:c r="B25" s="609"/>
      <x:c r="C25" s="609"/>
      <x:c r="D25" s="609"/>
      <x:c r="E25" s="609"/>
      <x:c r="F25" s="609"/>
      <x:c r="G25" s="609"/>
      <x:c r="H25" s="609"/>
      <x:c r="I25" s="609"/>
      <x:c r="J25" s="609"/>
      <x:c r="K25" s="609"/>
      <x:c r="L25" s="609"/>
      <x:c r="M25" s="609"/>
      <x:c r="N25" s="609"/>
    </x:row>
    <x:row r="26" ht="20" customHeight="1">
      <x:c r="A26" s="609"/>
      <x:c r="B26" s="609"/>
      <x:c r="C26" s="609"/>
      <x:c r="D26" s="609"/>
      <x:c r="E26" s="609"/>
      <x:c r="F26" s="609"/>
      <x:c r="G26" s="609"/>
      <x:c r="H26" s="609"/>
      <x:c r="I26" s="609"/>
      <x:c r="J26" s="609"/>
      <x:c r="K26" s="609"/>
      <x:c r="L26" s="609"/>
      <x:c r="M26" s="609"/>
      <x:c r="N26" s="609"/>
    </x:row>
    <x:row r="27" ht="20" customHeight="1">
      <x:c r="A27" s="609"/>
      <x:c r="B27" s="609"/>
      <x:c r="C27" s="609"/>
      <x:c r="D27" s="609"/>
      <x:c r="E27" s="609"/>
      <x:c r="F27" s="609"/>
      <x:c r="G27" s="609"/>
      <x:c r="H27" s="609"/>
      <x:c r="I27" s="609"/>
      <x:c r="J27" s="609"/>
      <x:c r="K27" s="609"/>
      <x:c r="L27" s="609"/>
      <x:c r="M27" s="609"/>
      <x:c r="N27" s="609"/>
    </x:row>
    <x:row r="28" ht="20" customHeight="1">
      <x:c r="A28" s="609"/>
      <x:c r="B28" s="609"/>
      <x:c r="C28" s="609"/>
      <x:c r="D28" s="609"/>
      <x:c r="E28" s="609"/>
      <x:c r="F28" s="609"/>
      <x:c r="G28" s="609"/>
      <x:c r="H28" s="609"/>
      <x:c r="I28" s="609"/>
      <x:c r="J28" s="609"/>
      <x:c r="K28" s="609"/>
      <x:c r="L28" s="609"/>
      <x:c r="M28" s="609"/>
      <x:c r="N28" s="609"/>
    </x:row>
    <x:row r="29" ht="20" customHeight="1">
      <x:c r="A29" s="609"/>
      <x:c r="B29" s="609"/>
      <x:c r="C29" s="609"/>
      <x:c r="D29" s="609"/>
      <x:c r="E29" s="609"/>
      <x:c r="F29" s="609"/>
      <x:c r="G29" s="609"/>
      <x:c r="H29" s="609"/>
      <x:c r="I29" s="609"/>
      <x:c r="J29" s="609"/>
      <x:c r="K29" s="609"/>
      <x:c r="L29" s="609"/>
      <x:c r="M29" s="609"/>
      <x:c r="N29" s="609"/>
    </x:row>
    <x:row r="30" ht="20" customHeight="1">
      <x:c r="A30" s="609"/>
      <x:c r="B30" s="609"/>
      <x:c r="C30" s="609"/>
      <x:c r="D30" s="609"/>
      <x:c r="E30" s="609"/>
      <x:c r="F30" s="609"/>
      <x:c r="G30" s="609"/>
      <x:c r="H30" s="609"/>
      <x:c r="I30" s="609"/>
      <x:c r="J30" s="609"/>
      <x:c r="K30" s="609"/>
      <x:c r="L30" s="609"/>
      <x:c r="M30" s="609"/>
      <x:c r="N30" s="609"/>
    </x:row>
    <x:row r="31" ht="20" customHeight="1">
      <x:c r="A31" s="593" t="str">
        <x:v>MANAGEMENT ATTENTION</x:v>
      </x:c>
      <x:c r="B31" s="593"/>
      <x:c r="C31" s="593"/>
      <x:c r="D31" s="593"/>
      <x:c r="E31" s="593"/>
      <x:c r="F31" s="593"/>
      <x:c r="G31" s="593"/>
      <x:c r="H31" s="593"/>
      <x:c r="I31" s="593"/>
      <x:c r="J31" s="593"/>
      <x:c r="K31" s="593"/>
      <x:c r="L31" s="593"/>
      <x:c r="M31" s="593"/>
      <x:c r="N31" s="593"/>
    </x:row>
    <x:row r="32" ht="20" customHeight="1">
      <x:c r="A32" s="594" t="str">
        <x:v>Priority</x:v>
      </x:c>
      <x:c r="B32" s="594" t="str">
        <x:v>Indicator</x:v>
      </x:c>
      <x:c r="C32" s="594" t="str">
        <x:v>Current Result</x:v>
      </x:c>
      <x:c r="D32" s="594" t="str">
        <x:v>Management Interpretation</x:v>
      </x:c>
      <x:c r="E32" s="594"/>
      <x:c r="F32" s="594"/>
      <x:c r="G32" s="594"/>
      <x:c r="H32" s="594"/>
      <x:c r="I32" s="594"/>
      <x:c r="J32" s="594"/>
      <x:c r="K32" s="594"/>
      <x:c r="L32" s="594"/>
      <x:c r="M32" s="594"/>
      <x:c r="N32" s="594"/>
    </x:row>
    <x:row r="33" ht="20" customHeight="1">
      <x:c r="A33" s="610" t="str">
        <x:v>1</x:v>
      </x:c>
      <x:c r="B33" s="611" t="str">
        <x:v>Target achievement</x:v>
      </x:c>
      <x:c r="C33" s="612" t="n">
        <x:f>IFERROR(SUM(Data_CustomerActive!$F$2:$F$100)/SUM(Data_CustomerActive!$E$2:$E$100),0)</x:f>
        <x:v>0.044444444444444446</x:v>
      </x:c>
      <x:c r="D33" s="613" t="str">
        <x:v>Low achievement requires review of annual target and customer rollout pace.</x:v>
      </x:c>
      <x:c r="E33" s="613"/>
      <x:c r="F33" s="613"/>
      <x:c r="G33" s="613"/>
      <x:c r="H33" s="613"/>
      <x:c r="I33" s="613"/>
      <x:c r="J33" s="613"/>
      <x:c r="K33" s="613"/>
      <x:c r="L33" s="613"/>
      <x:c r="M33" s="613"/>
      <x:c r="N33" s="614"/>
    </x:row>
    <x:row r="34" ht="20" customHeight="1">
      <x:c r="A34" s="615" t="str">
        <x:v>2</x:v>
      </x:c>
      <x:c r="B34" s="616" t="str">
        <x:v>System performance</x:v>
      </x:c>
      <x:c r="C34" s="617" t="n">
        <x:f>COUNTIF(Data_Booking!$G$2:$G$1000,"Yes")</x:f>
        <x:v>5</x:v>
      </x:c>
      <x:c r="D34" s="617" t="str">
        <x:v>Repeated slow-response reports are affecting booking processing time.</x:v>
      </x:c>
      <x:c r="E34" s="617"/>
      <x:c r="F34" s="617"/>
      <x:c r="G34" s="617"/>
      <x:c r="H34" s="617"/>
      <x:c r="I34" s="617"/>
      <x:c r="J34" s="617"/>
      <x:c r="K34" s="617"/>
      <x:c r="L34" s="617"/>
      <x:c r="M34" s="617"/>
      <x:c r="N34" s="618"/>
    </x:row>
    <x:row r="35" ht="20" customHeight="1">
      <x:c r="A35" s="619" t="str">
        <x:v>3</x:v>
      </x:c>
      <x:c r="B35" s="620" t="str">
        <x:v>Inactive / no-volume customers</x:v>
      </x:c>
      <x:c r="C35" s="621" t="n">
        <x:f>COUNTIFS(Data_CustomerActive!$D$2:$D$100,"Active",Data_CustomerActive!$F$2:$F$100,0)</x:f>
        <x:v>3</x:v>
      </x:c>
      <x:c r="D35" s="621" t="str">
        <x:v>Active status exists, but several customers have no recorded YVF bookings.</x:v>
      </x:c>
      <x:c r="E35" s="621"/>
      <x:c r="F35" s="621"/>
      <x:c r="G35" s="621"/>
      <x:c r="H35" s="621"/>
      <x:c r="I35" s="621"/>
      <x:c r="J35" s="621"/>
      <x:c r="K35" s="621"/>
      <x:c r="L35" s="621"/>
      <x:c r="M35" s="621"/>
      <x:c r="N35" s="622"/>
    </x:row>
    <x:row r="36" ht="20" customHeight="1">
      <x:c r="A36" s="609"/>
      <x:c r="B36" s="609"/>
      <x:c r="C36" s="609"/>
      <x:c r="D36" s="609"/>
      <x:c r="E36" s="609"/>
      <x:c r="F36" s="609"/>
      <x:c r="G36" s="609"/>
      <x:c r="H36" s="609"/>
      <x:c r="I36" s="609"/>
      <x:c r="J36" s="609"/>
      <x:c r="K36" s="609"/>
      <x:c r="L36" s="609"/>
      <x:c r="M36" s="609"/>
      <x:c r="N36" s="609"/>
    </x:row>
    <x:row r="37" ht="20" customHeight="1">
      <x:c r="A37" s="609"/>
      <x:c r="B37" s="609"/>
      <x:c r="C37" s="609"/>
      <x:c r="D37" s="609"/>
      <x:c r="E37" s="609"/>
      <x:c r="F37" s="609"/>
      <x:c r="G37" s="609"/>
      <x:c r="H37" s="609"/>
      <x:c r="I37" s="609"/>
      <x:c r="J37" s="609"/>
      <x:c r="K37" s="609"/>
      <x:c r="L37" s="609"/>
      <x:c r="M37" s="609"/>
      <x:c r="N37" s="609"/>
    </x:row>
    <x:row r="38" ht="20" customHeight="1">
      <x:c r="A38" s="609"/>
      <x:c r="B38" s="609"/>
      <x:c r="C38" s="609"/>
      <x:c r="D38" s="609"/>
      <x:c r="E38" s="609"/>
      <x:c r="F38" s="609"/>
      <x:c r="G38" s="609"/>
      <x:c r="H38" s="609"/>
      <x:c r="I38" s="609"/>
      <x:c r="J38" s="609"/>
      <x:c r="K38" s="609"/>
      <x:c r="L38" s="609"/>
      <x:c r="M38" s="609"/>
      <x:c r="N38" s="609"/>
    </x:row>
    <x:row r="39" ht="20" customHeight="1">
      <x:c r="A39" s="609"/>
      <x:c r="B39" s="609"/>
      <x:c r="C39" s="609"/>
      <x:c r="D39" s="609"/>
      <x:c r="E39" s="609"/>
      <x:c r="F39" s="609"/>
      <x:c r="G39" s="609"/>
      <x:c r="H39" s="609"/>
      <x:c r="I39" s="609"/>
      <x:c r="J39" s="609"/>
      <x:c r="K39" s="609"/>
      <x:c r="L39" s="609"/>
      <x:c r="M39" s="609"/>
      <x:c r="N39" s="609"/>
    </x:row>
    <x:row r="40" ht="20" customHeight="1">
      <x:c r="A40" s="623" t="str">
        <x:v>Customer</x:v>
      </x:c>
      <x:c r="B40" s="623" t="str">
        <x:v>Target</x:v>
      </x:c>
      <x:c r="C40" s="623" t="str">
        <x:v>Actual YTD</x:v>
      </x:c>
      <x:c r="D40" s="623"/>
      <x:c r="E40" s="623"/>
      <x:c r="F40" s="623"/>
      <x:c r="G40" s="623"/>
      <x:c r="H40" s="623"/>
      <x:c r="I40" s="623" t="str">
        <x:v>Customer</x:v>
      </x:c>
      <x:c r="J40" s="623" t="str">
        <x:v>Booking Volume</x:v>
      </x:c>
      <x:c r="K40" s="609"/>
      <x:c r="L40" s="609"/>
      <x:c r="M40" s="609"/>
      <x:c r="N40" s="609"/>
    </x:row>
    <x:row r="41" ht="20" customHeight="1">
      <x:c r="A41" s="623" t="str">
        <x:v>SDVN</x:v>
      </x:c>
      <x:c r="B41" s="623" t="n">
        <x:f>IFERROR(INDEX(Data_CustomerActive!$E$2:$E$100,MATCH(A41,Data_CustomerActive!$B$2:$B$100,0)),0)</x:f>
        <x:v>400</x:v>
      </x:c>
      <x:c r="C41" s="623" t="n">
        <x:f>IFERROR(INDEX(Data_CustomerActive!$F$2:$F$100,MATCH(A41,Data_CustomerActive!$B$2:$B$100,0)),0)</x:f>
        <x:v>15</x:v>
      </x:c>
      <x:c r="D41" s="623"/>
      <x:c r="E41" s="623"/>
      <x:c r="F41" s="623"/>
      <x:c r="G41" s="623"/>
      <x:c r="H41" s="623"/>
      <x:c r="I41" s="623" t="str">
        <x:v>SDVN</x:v>
      </x:c>
      <x:c r="J41" s="623" t="n">
        <x:f>SUMIF(Data_Booking!$B$2:$B$1000,I41,Data_Booking!$D$2:$D$1000)</x:f>
        <x:v>15</x:v>
      </x:c>
      <x:c r="K41" s="609"/>
      <x:c r="L41" s="609"/>
      <x:c r="M41" s="609"/>
      <x:c r="N41" s="609"/>
    </x:row>
    <x:row r="42" ht="20" customHeight="1">
      <x:c r="A42" s="623" t="str">
        <x:v>NGSDVN</x:v>
      </x:c>
      <x:c r="B42" s="623" t="n">
        <x:f>IFERROR(INDEX(Data_CustomerActive!$E$2:$E$100,MATCH(A42,Data_CustomerActive!$B$2:$B$100,0)),0)</x:f>
        <x:v>50</x:v>
      </x:c>
      <x:c r="C42" s="623" t="n">
        <x:f>IFERROR(INDEX(Data_CustomerActive!$F$2:$F$100,MATCH(A42,Data_CustomerActive!$B$2:$B$100,0)),0)</x:f>
        <x:v>5</x:v>
      </x:c>
      <x:c r="D42" s="623"/>
      <x:c r="E42" s="623"/>
      <x:c r="F42" s="623"/>
      <x:c r="G42" s="623"/>
      <x:c r="H42" s="623"/>
      <x:c r="I42" s="623" t="str">
        <x:v>NGSDVN</x:v>
      </x:c>
      <x:c r="J42" s="623" t="n">
        <x:f>SUMIF(Data_Booking!$B$2:$B$1000,I42,Data_Booking!$D$2:$D$1000)</x:f>
        <x:v>5</x:v>
      </x:c>
      <x:c r="K42" s="609"/>
      <x:c r="L42" s="609"/>
      <x:c r="M42" s="609"/>
      <x:c r="N42" s="609"/>
    </x:row>
    <x:row r="43" ht="20" customHeight="1">
      <x:c r="A43" s="623" t="str">
        <x:v>IKKA</x:v>
      </x:c>
      <x:c r="B43" s="623" t="n">
        <x:f>IFERROR(INDEX(Data_CustomerActive!$E$2:$E$100,MATCH(A43,Data_CustomerActive!$B$2:$B$100,0)),0)</x:f>
        <x:v>0</x:v>
      </x:c>
      <x:c r="C43" s="623" t="n">
        <x:f>IFERROR(INDEX(Data_CustomerActive!$F$2:$F$100,MATCH(A43,Data_CustomerActive!$B$2:$B$100,0)),0)</x:f>
        <x:v>0</x:v>
      </x:c>
      <x:c r="D43" s="623"/>
      <x:c r="E43" s="623"/>
      <x:c r="F43" s="623"/>
      <x:c r="G43" s="623"/>
      <x:c r="H43" s="623"/>
      <x:c r="I43" s="623" t="str">
        <x:v>IKKA</x:v>
      </x:c>
      <x:c r="J43" s="623" t="n">
        <x:f>SUMIF(Data_Booking!$B$2:$B$1000,I43,Data_Booking!$D$2:$D$1000)</x:f>
        <x:v>0</x:v>
      </x:c>
      <x:c r="K43" s="609"/>
      <x:c r="L43" s="609"/>
      <x:c r="M43" s="609"/>
      <x:c r="N43" s="609"/>
    </x:row>
    <x:row r="44" ht="20" customHeight="1">
      <x:c r="A44" s="623" t="str">
        <x:v>TAISHODO</x:v>
      </x:c>
      <x:c r="B44" s="623" t="n">
        <x:f>IFERROR(INDEX(Data_CustomerActive!$E$2:$E$100,MATCH(A44,Data_CustomerActive!$B$2:$B$100,0)),0)</x:f>
        <x:v>0</x:v>
      </x:c>
      <x:c r="C44" s="623" t="n">
        <x:f>IFERROR(INDEX(Data_CustomerActive!$F$2:$F$100,MATCH(A44,Data_CustomerActive!$B$2:$B$100,0)),0)</x:f>
        <x:v>0</x:v>
      </x:c>
      <x:c r="D44" s="623"/>
      <x:c r="E44" s="623"/>
      <x:c r="F44" s="623"/>
      <x:c r="G44" s="623"/>
      <x:c r="H44" s="623"/>
      <x:c r="I44" s="623" t="str">
        <x:v>TAISHODO</x:v>
      </x:c>
      <x:c r="J44" s="623" t="n">
        <x:f>SUMIF(Data_Booking!$B$2:$B$1000,I44,Data_Booking!$D$2:$D$1000)</x:f>
        <x:v>0</x:v>
      </x:c>
      <x:c r="K44" s="609"/>
      <x:c r="L44" s="609"/>
      <x:c r="M44" s="609"/>
      <x:c r="N44" s="609"/>
    </x:row>
    <x:row r="45" ht="20" customHeight="1">
      <x:c r="A45" s="623" t="str">
        <x:v>SVAW</x:v>
      </x:c>
      <x:c r="B45" s="623" t="n">
        <x:f>IFERROR(INDEX(Data_CustomerActive!$E$2:$E$100,MATCH(A45,Data_CustomerActive!$B$2:$B$100,0)),0)</x:f>
        <x:v>0</x:v>
      </x:c>
      <x:c r="C45" s="623" t="n">
        <x:f>IFERROR(INDEX(Data_CustomerActive!$F$2:$F$100,MATCH(A45,Data_CustomerActive!$B$2:$B$100,0)),0)</x:f>
        <x:v>0</x:v>
      </x:c>
      <x:c r="D45" s="623"/>
      <x:c r="E45" s="623"/>
      <x:c r="F45" s="623"/>
      <x:c r="G45" s="623"/>
      <x:c r="H45" s="623"/>
      <x:c r="I45" s="623" t="str">
        <x:v>SVAW</x:v>
      </x:c>
      <x:c r="J45" s="623" t="n">
        <x:f>SUMIF(Data_Booking!$B$2:$B$1000,I45,Data_Booking!$D$2:$D$1000)</x:f>
        <x:v>0</x:v>
      </x:c>
      <x:c r="K45" s="609"/>
      <x:c r="L45" s="609"/>
      <x:c r="M45" s="609"/>
      <x:c r="N45" s="609"/>
    </x:row>
    <x:row r="46" ht="20" customHeight="1">
      <x:c r="A46" s="609"/>
      <x:c r="B46" s="609"/>
      <x:c r="C46" s="609"/>
      <x:c r="D46" s="609"/>
      <x:c r="E46" s="609"/>
      <x:c r="F46" s="609"/>
      <x:c r="G46" s="609"/>
      <x:c r="H46" s="609"/>
      <x:c r="I46" s="609"/>
      <x:c r="J46" s="609"/>
      <x:c r="K46" s="609"/>
      <x:c r="L46" s="609"/>
      <x:c r="M46" s="609"/>
      <x:c r="N46" s="609"/>
    </x:row>
    <x:row r="47" ht="20" customHeight="1">
      <x:c r="A47" s="609"/>
      <x:c r="B47" s="609"/>
      <x:c r="C47" s="609"/>
      <x:c r="D47" s="609"/>
      <x:c r="E47" s="609"/>
      <x:c r="F47" s="609"/>
      <x:c r="G47" s="609"/>
      <x:c r="H47" s="609"/>
      <x:c r="I47" s="609"/>
      <x:c r="J47" s="609"/>
      <x:c r="K47" s="609"/>
      <x:c r="L47" s="609"/>
      <x:c r="M47" s="609"/>
      <x:c r="N47" s="609"/>
    </x:row>
    <x:row r="48" ht="20" customHeight="1">
      <x:c r="A48" s="609"/>
      <x:c r="B48" s="609"/>
      <x:c r="C48" s="609"/>
      <x:c r="D48" s="609"/>
      <x:c r="E48" s="609"/>
      <x:c r="F48" s="609"/>
      <x:c r="G48" s="609"/>
      <x:c r="H48" s="609"/>
      <x:c r="I48" s="609"/>
      <x:c r="J48" s="609"/>
      <x:c r="K48" s="609"/>
      <x:c r="L48" s="609"/>
      <x:c r="M48" s="609"/>
      <x:c r="N48" s="609"/>
    </x:row>
    <x:row r="49" ht="20" customHeight="1">
      <x:c r="A49" s="609"/>
      <x:c r="B49" s="609"/>
      <x:c r="C49" s="609"/>
      <x:c r="D49" s="609"/>
      <x:c r="E49" s="609"/>
      <x:c r="F49" s="609"/>
      <x:c r="G49" s="609"/>
      <x:c r="H49" s="609"/>
      <x:c r="I49" s="609"/>
      <x:c r="J49" s="609"/>
      <x:c r="K49" s="609"/>
      <x:c r="L49" s="609"/>
      <x:c r="M49" s="609"/>
      <x:c r="N49" s="609"/>
    </x:row>
    <x:row r="50" ht="20" customHeight="1">
      <x:c r="A50" s="609"/>
      <x:c r="B50" s="609"/>
      <x:c r="C50" s="609"/>
      <x:c r="D50" s="609"/>
      <x:c r="E50" s="609"/>
      <x:c r="F50" s="609"/>
      <x:c r="G50" s="609"/>
      <x:c r="H50" s="609"/>
      <x:c r="I50" s="609"/>
      <x:c r="J50" s="609"/>
      <x:c r="K50" s="609"/>
      <x:c r="L50" s="609"/>
      <x:c r="M50" s="609"/>
      <x:c r="N50" s="609"/>
    </x:row>
    <x:row r="51" ht="20" customHeight="1">
      <x:c r="A51" s="609"/>
      <x:c r="B51" s="609"/>
      <x:c r="C51" s="609"/>
      <x:c r="D51" s="609"/>
      <x:c r="E51" s="609"/>
      <x:c r="F51" s="609"/>
      <x:c r="G51" s="609"/>
      <x:c r="H51" s="609"/>
      <x:c r="I51" s="609"/>
      <x:c r="J51" s="609"/>
      <x:c r="K51" s="609"/>
      <x:c r="L51" s="609"/>
      <x:c r="M51" s="609"/>
      <x:c r="N51" s="609"/>
    </x:row>
    <x:row r="52" ht="20" customHeight="1">
      <x:c r="A52" s="609"/>
      <x:c r="B52" s="609"/>
      <x:c r="C52" s="609"/>
      <x:c r="D52" s="609"/>
      <x:c r="E52" s="609"/>
      <x:c r="F52" s="609"/>
      <x:c r="G52" s="609"/>
      <x:c r="H52" s="609"/>
      <x:c r="I52" s="609"/>
      <x:c r="J52" s="609"/>
      <x:c r="K52" s="609"/>
      <x:c r="L52" s="609"/>
      <x:c r="M52" s="609"/>
      <x:c r="N52" s="609"/>
    </x:row>
    <x:row r="53" ht="20" customHeight="1">
      <x:c r="A53" s="609"/>
      <x:c r="B53" s="609"/>
      <x:c r="C53" s="609"/>
      <x:c r="D53" s="609"/>
      <x:c r="E53" s="609"/>
      <x:c r="F53" s="609"/>
      <x:c r="G53" s="609"/>
      <x:c r="H53" s="609"/>
      <x:c r="I53" s="609"/>
      <x:c r="J53" s="609"/>
      <x:c r="K53" s="609"/>
      <x:c r="L53" s="609"/>
      <x:c r="M53" s="609"/>
      <x:c r="N53" s="609"/>
    </x:row>
    <x:row r="54" ht="20" customHeight="1">
      <x:c r="A54" s="609"/>
      <x:c r="B54" s="609"/>
      <x:c r="C54" s="609"/>
      <x:c r="D54" s="609"/>
      <x:c r="E54" s="609"/>
      <x:c r="F54" s="609"/>
      <x:c r="G54" s="609"/>
      <x:c r="H54" s="609"/>
      <x:c r="I54" s="609"/>
      <x:c r="J54" s="609"/>
      <x:c r="K54" s="609"/>
      <x:c r="L54" s="609"/>
      <x:c r="M54" s="609"/>
      <x:c r="N54" s="609"/>
    </x:row>
    <x:row r="55" ht="20" customHeight="1">
      <x:c r="A55" s="609"/>
      <x:c r="B55" s="609"/>
      <x:c r="C55" s="609"/>
      <x:c r="D55" s="609"/>
      <x:c r="E55" s="609"/>
      <x:c r="F55" s="609"/>
      <x:c r="G55" s="609"/>
      <x:c r="H55" s="609"/>
      <x:c r="I55" s="609"/>
      <x:c r="J55" s="609"/>
      <x:c r="K55" s="609"/>
      <x:c r="L55" s="609"/>
      <x:c r="M55" s="609"/>
      <x:c r="N55" s="609"/>
    </x:row>
    <x:row r="56" ht="20" customHeight="1">
      <x:c r="A56" s="609"/>
      <x:c r="B56" s="609"/>
      <x:c r="C56" s="609"/>
      <x:c r="D56" s="609"/>
      <x:c r="E56" s="609"/>
      <x:c r="F56" s="609"/>
      <x:c r="G56" s="609"/>
      <x:c r="H56" s="609"/>
      <x:c r="I56" s="609"/>
      <x:c r="J56" s="609"/>
      <x:c r="K56" s="609"/>
      <x:c r="L56" s="609"/>
      <x:c r="M56" s="609"/>
      <x:c r="N56" s="609"/>
    </x:row>
    <x:row r="57" ht="20" customHeight="1">
      <x:c r="A57" s="609"/>
      <x:c r="B57" s="609"/>
      <x:c r="C57" s="609"/>
      <x:c r="D57" s="609"/>
      <x:c r="E57" s="609"/>
      <x:c r="F57" s="609"/>
      <x:c r="G57" s="609"/>
      <x:c r="H57" s="609"/>
      <x:c r="I57" s="609"/>
      <x:c r="J57" s="609"/>
      <x:c r="K57" s="609"/>
      <x:c r="L57" s="609"/>
      <x:c r="M57" s="609"/>
      <x:c r="N57" s="609"/>
    </x:row>
    <x:row r="58" ht="20" customHeight="1">
      <x:c r="A58" s="609"/>
      <x:c r="B58" s="609"/>
      <x:c r="C58" s="609"/>
      <x:c r="D58" s="609"/>
      <x:c r="E58" s="609"/>
      <x:c r="F58" s="609"/>
      <x:c r="G58" s="609"/>
      <x:c r="H58" s="609"/>
      <x:c r="I58" s="609"/>
      <x:c r="J58" s="609"/>
      <x:c r="K58" s="609"/>
      <x:c r="L58" s="609"/>
      <x:c r="M58" s="609"/>
      <x:c r="N58" s="609"/>
    </x:row>
    <x:row r="59" ht="20" customHeight="1">
      <x:c r="A59" s="609"/>
      <x:c r="B59" s="609"/>
      <x:c r="C59" s="609"/>
      <x:c r="D59" s="609"/>
      <x:c r="E59" s="609"/>
      <x:c r="F59" s="609"/>
      <x:c r="G59" s="609"/>
      <x:c r="H59" s="609"/>
      <x:c r="I59" s="609"/>
      <x:c r="J59" s="609"/>
      <x:c r="K59" s="609"/>
      <x:c r="L59" s="609"/>
      <x:c r="M59" s="609"/>
      <x:c r="N59" s="609"/>
    </x:row>
    <x:row r="60" ht="20" customHeight="1">
      <x:c r="A60" s="609"/>
      <x:c r="B60" s="609"/>
      <x:c r="C60" s="609"/>
      <x:c r="D60" s="609"/>
      <x:c r="E60" s="609"/>
      <x:c r="F60" s="609"/>
      <x:c r="G60" s="609"/>
      <x:c r="H60" s="609"/>
      <x:c r="I60" s="609"/>
      <x:c r="J60" s="609"/>
      <x:c r="K60" s="609"/>
      <x:c r="L60" s="609"/>
      <x:c r="M60" s="609"/>
      <x:c r="N60" s="609"/>
    </x:row>
  </x:sheetData>
  <x:mergeCells>
    <x:mergeCell ref="A1:N2"/>
    <x:mergeCell ref="A3:N3"/>
    <x:mergeCell ref="A6:C8"/>
    <x:mergeCell ref="A5:C5"/>
    <x:mergeCell ref="E6:G8"/>
    <x:mergeCell ref="E5:G5"/>
    <x:mergeCell ref="I6:K8"/>
    <x:mergeCell ref="I5:K5"/>
    <x:mergeCell ref="M6:N8"/>
    <x:mergeCell ref="M5:N5"/>
    <x:mergeCell ref="A11:C13"/>
    <x:mergeCell ref="A10:C10"/>
    <x:mergeCell ref="E11:G13"/>
    <x:mergeCell ref="E10:G10"/>
    <x:mergeCell ref="I11:K13"/>
    <x:mergeCell ref="I10:K10"/>
    <x:mergeCell ref="M11:N13"/>
    <x:mergeCell ref="M10:N10"/>
    <x:mergeCell ref="A15:G15"/>
    <x:mergeCell ref="I15:N15"/>
    <x:mergeCell ref="A31:N31"/>
    <x:mergeCell ref="D32:N32"/>
    <x:mergeCell ref="D33:N33"/>
    <x:mergeCell ref="D34:N34"/>
    <x:mergeCell ref="D35:N35"/>
  </x:mergeCells>
  <x:pageMargins left="0.7" right="0.7" top="0.75" bottom="0.75" header="0.3" footer="0.3"/>
  <x:drawing xmlns:r="http://schemas.openxmlformats.org/officeDocument/2006/relationships" r:id="R27bd497f13274c2b"/>
</x:worksheet>
</file>

<file path=xl/worksheets/sheet7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4" hidden="0" customWidth="1"/>
    <x:col min="3" max="3" width="18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8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513" t="str">
        <x:v>Customer Adoption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  <x:c r="N1" s="513"/>
    </x:row>
    <x:row r="2" ht="20" customHeight="1">
      <x:c r="A2" s="513"/>
      <x:c r="B2" s="513"/>
      <x:c r="C2" s="513"/>
      <x:c r="D2" s="513"/>
      <x:c r="E2" s="513"/>
      <x:c r="F2" s="513"/>
      <x:c r="G2" s="513"/>
      <x:c r="H2" s="513"/>
      <x:c r="I2" s="513"/>
      <x:c r="J2" s="513"/>
      <x:c r="K2" s="513"/>
      <x:c r="L2" s="513"/>
      <x:c r="M2" s="513"/>
      <x:c r="N2" s="513"/>
    </x:row>
    <x:row r="3" ht="20" customHeight="1">
      <x:c r="A3" s="514" t="str">
        <x:v>Customer activation, annual target progress and rollout status</x:v>
      </x:c>
      <x:c r="B3" s="514"/>
      <x:c r="C3" s="514"/>
      <x:c r="D3" s="514"/>
      <x:c r="E3" s="514"/>
      <x:c r="F3" s="514"/>
      <x:c r="G3" s="514"/>
      <x:c r="H3" s="514"/>
      <x:c r="I3" s="514"/>
      <x:c r="J3" s="514"/>
      <x:c r="K3" s="514"/>
      <x:c r="L3" s="514"/>
      <x:c r="M3" s="514"/>
      <x:c r="N3" s="514"/>
    </x:row>
    <x:row r="4" ht="20" customHeight="1">
      <x:c r="A4" s="609"/>
      <x:c r="B4" s="609"/>
      <x:c r="C4" s="609"/>
      <x:c r="D4" s="609"/>
      <x:c r="E4" s="609"/>
      <x:c r="F4" s="609"/>
      <x:c r="G4" s="609"/>
      <x:c r="H4" s="609"/>
      <x:c r="I4" s="609"/>
      <x:c r="J4" s="609"/>
      <x:c r="K4" s="609"/>
      <x:c r="L4" s="609"/>
      <x:c r="M4" s="609"/>
      <x:c r="N4" s="609"/>
    </x:row>
    <x:row r="5" ht="20" customHeight="1">
      <x:c r="A5" s="516" t="str">
        <x:v>TOTAL CUSTOMERS</x:v>
      </x:c>
      <x:c r="B5" s="517"/>
      <x:c r="C5" s="518"/>
      <x:c r="D5" s="609"/>
      <x:c r="E5" s="519" t="str">
        <x:v>ACTIVE CUSTOMERS</x:v>
      </x:c>
      <x:c r="F5" s="520"/>
      <x:c r="G5" s="521"/>
      <x:c r="H5" s="609"/>
      <x:c r="I5" s="522" t="str">
        <x:v>YEAR TARGET</x:v>
      </x:c>
      <x:c r="J5" s="523"/>
      <x:c r="K5" s="524"/>
      <x:c r="L5" s="609"/>
      <x:c r="M5" s="525" t="str">
        <x:v>ACTUAL YTD</x:v>
      </x:c>
      <x:c r="N5" s="526"/>
    </x:row>
    <x:row r="6" ht="20" customHeight="1">
      <x:c r="A6" s="527" t="n">
        <x:f>COUNTA(Data_CustomerActive!$A$2:$A$100)</x:f>
        <x:v>5</x:v>
      </x:c>
      <x:c r="B6" s="528"/>
      <x:c r="C6" s="529"/>
      <x:c r="D6" s="609"/>
      <x:c r="E6" s="624" t="n">
        <x:f>COUNTIF(Data_CustomerActive!$D$2:$D$100,"Active")</x:f>
        <x:v>5</x:v>
      </x:c>
      <x:c r="F6" s="531"/>
      <x:c r="G6" s="532"/>
      <x:c r="H6" s="609"/>
      <x:c r="I6" s="533" t="n">
        <x:f>SUM(Data_CustomerActive!$E$2:$E$100)</x:f>
        <x:v>450</x:v>
      </x:c>
      <x:c r="J6" s="534"/>
      <x:c r="K6" s="535"/>
      <x:c r="L6" s="609"/>
      <x:c r="M6" s="625" t="n">
        <x:f>SUM(Data_CustomerActive!$F$2:$F$100)</x:f>
        <x:v>20</x:v>
      </x:c>
      <x:c r="N6" s="537"/>
    </x:row>
    <x:row r="7" ht="20" customHeight="1">
      <x:c r="A7" s="538"/>
      <x:c r="B7" s="539"/>
      <x:c r="C7" s="540"/>
      <x:c r="D7" s="609"/>
      <x:c r="E7" s="541"/>
      <x:c r="F7" s="542"/>
      <x:c r="G7" s="543"/>
      <x:c r="H7" s="609"/>
      <x:c r="I7" s="544"/>
      <x:c r="J7" s="545"/>
      <x:c r="K7" s="546"/>
      <x:c r="L7" s="609"/>
      <x:c r="M7" s="547"/>
      <x:c r="N7" s="548"/>
    </x:row>
    <x:row r="8" ht="20" customHeight="1">
      <x:c r="A8" s="549"/>
      <x:c r="B8" s="550"/>
      <x:c r="C8" s="551"/>
      <x:c r="D8" s="609"/>
      <x:c r="E8" s="552"/>
      <x:c r="F8" s="553"/>
      <x:c r="G8" s="554"/>
      <x:c r="H8" s="609"/>
      <x:c r="I8" s="555"/>
      <x:c r="J8" s="556"/>
      <x:c r="K8" s="557"/>
      <x:c r="L8" s="609"/>
      <x:c r="M8" s="558"/>
      <x:c r="N8" s="559"/>
    </x:row>
    <x:row r="9" ht="20" customHeight="1">
      <x:c r="A9" s="609"/>
      <x:c r="B9" s="609"/>
      <x:c r="C9" s="609"/>
      <x:c r="D9" s="609"/>
      <x:c r="E9" s="609"/>
      <x:c r="F9" s="609"/>
      <x:c r="G9" s="609"/>
      <x:c r="H9" s="609"/>
      <x:c r="I9" s="609"/>
      <x:c r="J9" s="609"/>
      <x:c r="K9" s="609"/>
      <x:c r="L9" s="609"/>
      <x:c r="M9" s="609"/>
      <x:c r="N9" s="609"/>
    </x:row>
    <x:row r="10" ht="20" customHeight="1">
      <x:c r="A10" s="609"/>
      <x:c r="B10" s="609"/>
      <x:c r="C10" s="609"/>
      <x:c r="D10" s="609"/>
      <x:c r="E10" s="609"/>
      <x:c r="F10" s="609"/>
      <x:c r="G10" s="609"/>
      <x:c r="H10" s="609"/>
      <x:c r="I10" s="609"/>
      <x:c r="J10" s="609"/>
      <x:c r="K10" s="609"/>
      <x:c r="L10" s="609"/>
      <x:c r="M10" s="609"/>
      <x:c r="N10" s="609"/>
    </x:row>
    <x:row r="11" ht="20" customHeight="1">
      <x:c r="A11" s="643" t="str">
        <x:v>CUSTOMER ADOPTION DETAIL</x:v>
      </x:c>
      <x:c r="B11" s="643"/>
      <x:c r="C11" s="643"/>
      <x:c r="D11" s="643"/>
      <x:c r="E11" s="643"/>
      <x:c r="F11" s="643"/>
      <x:c r="G11" s="643"/>
      <x:c r="H11" s="643"/>
      <x:c r="I11" s="643"/>
      <x:c r="J11" s="643"/>
      <x:c r="K11" s="643"/>
      <x:c r="L11" s="643"/>
      <x:c r="M11" s="643"/>
      <x:c r="N11" s="643"/>
    </x:row>
    <x:row r="12" ht="20" customHeight="1">
      <x:c r="A12" s="644" t="str">
        <x:v>Customer</x:v>
      </x:c>
      <x:c r="B12" s="644" t="str">
        <x:v>Code</x:v>
      </x:c>
      <x:c r="C12" s="644" t="str">
        <x:v>Start Using YVF</x:v>
      </x:c>
      <x:c r="D12" s="644" t="str">
        <x:v>Status</x:v>
      </x:c>
      <x:c r="E12" s="644" t="str">
        <x:v>Target/Year</x:v>
      </x:c>
      <x:c r="F12" s="644" t="str">
        <x:v>Actual YTD</x:v>
      </x:c>
      <x:c r="G12" s="644" t="str">
        <x:v>Achievement</x:v>
      </x:c>
      <x:c r="H12" s="644" t="str">
        <x:v>Actual This Month</x:v>
      </x:c>
      <x:c r="I12" s="609"/>
      <x:c r="J12" s="609"/>
      <x:c r="K12" s="609"/>
      <x:c r="L12" s="609"/>
      <x:c r="M12" s="609"/>
      <x:c r="N12" s="609"/>
    </x:row>
    <x:row r="13" ht="20" customHeight="1">
      <x:c r="A13" s="645" t="str">
        <x:v>SUMIDENSO VIET NAM.CO.,LTD</x:v>
      </x:c>
      <x:c r="B13" s="646" t="str">
        <x:v>SDVN</x:v>
      </x:c>
      <x:c r="C13" s="647" t="n">
        <x:f>IFERROR(INDEX(Data_CustomerActive!$C$2:$C$100,MATCH(B13,Data_CustomerActive!$B$2:$B$100,0)),"")</x:f>
        <x:v>46076</x:v>
      </x:c>
      <x:c r="D13" s="646" t="str">
        <x:f>IFERROR(INDEX(Data_CustomerActive!$D$2:$D$100,MATCH(B13,Data_CustomerActive!$B$2:$B$100,0)),"")</x:f>
        <x:v>Active</x:v>
      </x:c>
      <x:c r="E13" s="646" t="n">
        <x:f>IFERROR(INDEX(Data_CustomerActive!$E$2:$E$100,MATCH(B13,Data_CustomerActive!$B$2:$B$100,0)),0)</x:f>
        <x:v>400</x:v>
      </x:c>
      <x:c r="F13" s="646" t="n">
        <x:f>IFERROR(INDEX(Data_CustomerActive!$F$2:$F$100,MATCH(B13,Data_CustomerActive!$B$2:$B$100,0)),0)</x:f>
        <x:v>15</x:v>
      </x:c>
      <x:c r="G13" s="648" t="n">
        <x:f>IFERROR(F13/E13,0)</x:f>
        <x:v>0.0375</x:v>
      </x:c>
      <x:c r="H13" s="649" t="n">
        <x:f>IFERROR(INDEX(Data_CustomerActive!$H$2:$H$100,MATCH(B13,Data_CustomerActive!$B$2:$B$100,0)),0)</x:f>
        <x:v>15</x:v>
      </x:c>
      <x:c r="I13" s="609"/>
      <x:c r="J13" s="609"/>
      <x:c r="K13" s="609"/>
      <x:c r="L13" s="609"/>
      <x:c r="M13" s="609"/>
      <x:c r="N13" s="609"/>
    </x:row>
    <x:row r="14" ht="20" customHeight="1">
      <x:c r="A14" s="650" t="str">
        <x:v>NGHIA AN BRANCH - SUMIDENSO VIETNAM CO LTD</x:v>
      </x:c>
      <x:c r="B14" s="651" t="str">
        <x:v>NGSDVN</x:v>
      </x:c>
      <x:c r="C14" s="652" t="n">
        <x:f>IFERROR(INDEX(Data_CustomerActive!$C$2:$C$100,MATCH(B14,Data_CustomerActive!$B$2:$B$100,0)),"")</x:f>
        <x:v>46226</x:v>
      </x:c>
      <x:c r="D14" s="651" t="str">
        <x:f>IFERROR(INDEX(Data_CustomerActive!$D$2:$D$100,MATCH(B14,Data_CustomerActive!$B$2:$B$100,0)),"")</x:f>
        <x:v>Active</x:v>
      </x:c>
      <x:c r="E14" s="651" t="n">
        <x:f>IFERROR(INDEX(Data_CustomerActive!$E$2:$E$100,MATCH(B14,Data_CustomerActive!$B$2:$B$100,0)),0)</x:f>
        <x:v>50</x:v>
      </x:c>
      <x:c r="F14" s="651" t="n">
        <x:f>IFERROR(INDEX(Data_CustomerActive!$F$2:$F$100,MATCH(B14,Data_CustomerActive!$B$2:$B$100,0)),0)</x:f>
        <x:v>5</x:v>
      </x:c>
      <x:c r="G14" s="653" t="n">
        <x:f>IFERROR(F14/E14,0)</x:f>
        <x:v>0.1</x:v>
      </x:c>
      <x:c r="H14" s="654" t="n">
        <x:f>IFERROR(INDEX(Data_CustomerActive!$H$2:$H$100,MATCH(B14,Data_CustomerActive!$B$2:$B$100,0)),0)</x:f>
        <x:v>5</x:v>
      </x:c>
      <x:c r="I14" s="609"/>
      <x:c r="J14" s="609"/>
      <x:c r="K14" s="609"/>
      <x:c r="L14" s="609"/>
      <x:c r="M14" s="609"/>
      <x:c r="N14" s="609"/>
    </x:row>
    <x:row r="15" ht="20" customHeight="1">
      <x:c r="A15" s="650" t="str">
        <x:v>IKKA TECHNOLOGY VIETNAM CO.,LTD</x:v>
      </x:c>
      <x:c r="B15" s="651" t="str">
        <x:v>IKKA</x:v>
      </x:c>
      <x:c r="C15" s="652" t="str">
        <x:f>IFERROR(INDEX(Data_CustomerActive!$C$2:$C$100,MATCH(B15,Data_CustomerActive!$B$2:$B$100,0)),"")</x:f>
      </x:c>
      <x:c r="D15" s="651" t="str">
        <x:f>IFERROR(INDEX(Data_CustomerActive!$D$2:$D$100,MATCH(B15,Data_CustomerActive!$B$2:$B$100,0)),"")</x:f>
        <x:v>Active</x:v>
      </x:c>
      <x:c r="E15" s="651" t="n">
        <x:f>IFERROR(INDEX(Data_CustomerActive!$E$2:$E$100,MATCH(B15,Data_CustomerActive!$B$2:$B$100,0)),0)</x:f>
        <x:v>0</x:v>
      </x:c>
      <x:c r="F15" s="651" t="n">
        <x:f>IFERROR(INDEX(Data_CustomerActive!$F$2:$F$100,MATCH(B15,Data_CustomerActive!$B$2:$B$100,0)),0)</x:f>
        <x:v>0</x:v>
      </x:c>
      <x:c r="G15" s="653" t="n">
        <x:f>IFERROR(F15/E15,0)</x:f>
        <x:v>0</x:v>
      </x:c>
      <x:c r="H15" s="654" t="n">
        <x:f>IFERROR(INDEX(Data_CustomerActive!$H$2:$H$100,MATCH(B15,Data_CustomerActive!$B$2:$B$100,0)),0)</x:f>
        <x:v>0</x:v>
      </x:c>
      <x:c r="I15" s="609"/>
      <x:c r="J15" s="609"/>
      <x:c r="K15" s="609"/>
      <x:c r="L15" s="609"/>
      <x:c r="M15" s="609"/>
      <x:c r="N15" s="609"/>
    </x:row>
    <x:row r="16" ht="20" customHeight="1">
      <x:c r="A16" s="650" t="str">
        <x:v>TAISHODO VIETNAM COMPANY LIMITED</x:v>
      </x:c>
      <x:c r="B16" s="651" t="str">
        <x:v>TAISHODO</x:v>
      </x:c>
      <x:c r="C16" s="652" t="str">
        <x:f>IFERROR(INDEX(Data_CustomerActive!$C$2:$C$100,MATCH(B16,Data_CustomerActive!$B$2:$B$100,0)),"")</x:f>
      </x:c>
      <x:c r="D16" s="651" t="str">
        <x:f>IFERROR(INDEX(Data_CustomerActive!$D$2:$D$100,MATCH(B16,Data_CustomerActive!$B$2:$B$100,0)),"")</x:f>
        <x:v>Active</x:v>
      </x:c>
      <x:c r="E16" s="651" t="n">
        <x:f>IFERROR(INDEX(Data_CustomerActive!$E$2:$E$100,MATCH(B16,Data_CustomerActive!$B$2:$B$100,0)),0)</x:f>
        <x:v>0</x:v>
      </x:c>
      <x:c r="F16" s="651" t="n">
        <x:f>IFERROR(INDEX(Data_CustomerActive!$F$2:$F$100,MATCH(B16,Data_CustomerActive!$B$2:$B$100,0)),0)</x:f>
        <x:v>0</x:v>
      </x:c>
      <x:c r="G16" s="653" t="n">
        <x:f>IFERROR(F16/E16,0)</x:f>
        <x:v>0</x:v>
      </x:c>
      <x:c r="H16" s="654" t="n">
        <x:f>IFERROR(INDEX(Data_CustomerActive!$H$2:$H$100,MATCH(B16,Data_CustomerActive!$B$2:$B$100,0)),0)</x:f>
        <x:v>0</x:v>
      </x:c>
      <x:c r="I16" s="609"/>
      <x:c r="J16" s="609"/>
      <x:c r="K16" s="609"/>
      <x:c r="L16" s="609"/>
      <x:c r="M16" s="609"/>
      <x:c r="N16" s="609"/>
    </x:row>
    <x:row r="17" ht="20" customHeight="1">
      <x:c r="A17" s="655" t="str">
        <x:v>SUMIDEN VIETNAM AUTOMOTIVE WIRE LTD., CO</x:v>
      </x:c>
      <x:c r="B17" s="656" t="str">
        <x:v>SVAW</x:v>
      </x:c>
      <x:c r="C17" s="657" t="str">
        <x:f>IFERROR(INDEX(Data_CustomerActive!$C$2:$C$100,MATCH(B17,Data_CustomerActive!$B$2:$B$100,0)),"")</x:f>
      </x:c>
      <x:c r="D17" s="656" t="str">
        <x:f>IFERROR(INDEX(Data_CustomerActive!$D$2:$D$100,MATCH(B17,Data_CustomerActive!$B$2:$B$100,0)),"")</x:f>
        <x:v>Active</x:v>
      </x:c>
      <x:c r="E17" s="656" t="n">
        <x:f>IFERROR(INDEX(Data_CustomerActive!$E$2:$E$100,MATCH(B17,Data_CustomerActive!$B$2:$B$100,0)),0)</x:f>
        <x:v>0</x:v>
      </x:c>
      <x:c r="F17" s="656" t="n">
        <x:f>IFERROR(INDEX(Data_CustomerActive!$F$2:$F$100,MATCH(B17,Data_CustomerActive!$B$2:$B$100,0)),0)</x:f>
        <x:v>0</x:v>
      </x:c>
      <x:c r="G17" s="658" t="n">
        <x:f>IFERROR(F17/E17,0)</x:f>
        <x:v>0</x:v>
      </x:c>
      <x:c r="H17" s="659" t="n">
        <x:f>IFERROR(INDEX(Data_CustomerActive!$H$2:$H$100,MATCH(B17,Data_CustomerActive!$B$2:$B$100,0)),0)</x:f>
        <x:v>0</x:v>
      </x:c>
      <x:c r="I17" s="609"/>
      <x:c r="J17" s="609"/>
      <x:c r="K17" s="609"/>
      <x:c r="L17" s="609"/>
      <x:c r="M17" s="609"/>
      <x:c r="N17" s="609"/>
    </x:row>
    <x:row r="18" ht="20" customHeight="1">
      <x:c r="A18" s="609"/>
      <x:c r="B18" s="609"/>
      <x:c r="C18" s="609"/>
      <x:c r="D18" s="609"/>
      <x:c r="E18" s="609"/>
      <x:c r="F18" s="609"/>
      <x:c r="G18" s="609"/>
      <x:c r="H18" s="609"/>
      <x:c r="I18" s="609"/>
      <x:c r="J18" s="609"/>
      <x:c r="K18" s="609"/>
      <x:c r="L18" s="609"/>
      <x:c r="M18" s="609"/>
      <x:c r="N18" s="609"/>
    </x:row>
    <x:row r="19" ht="20" customHeight="1">
      <x:c r="A19" s="609"/>
      <x:c r="B19" s="609"/>
      <x:c r="C19" s="609"/>
      <x:c r="D19" s="609"/>
      <x:c r="E19" s="609"/>
      <x:c r="F19" s="609"/>
      <x:c r="G19" s="609"/>
      <x:c r="H19" s="609"/>
      <x:c r="I19" s="609"/>
      <x:c r="J19" s="609"/>
      <x:c r="K19" s="609"/>
      <x:c r="L19" s="609"/>
      <x:c r="M19" s="609"/>
      <x:c r="N19" s="609"/>
    </x:row>
    <x:row r="20" ht="20" customHeight="1">
      <x:c r="A20" s="609"/>
      <x:c r="B20" s="609"/>
      <x:c r="C20" s="609"/>
      <x:c r="D20" s="609"/>
      <x:c r="E20" s="609"/>
      <x:c r="F20" s="609"/>
      <x:c r="G20" s="609"/>
      <x:c r="H20" s="609"/>
      <x:c r="I20" s="609"/>
      <x:c r="J20" s="609"/>
      <x:c r="K20" s="609"/>
      <x:c r="L20" s="609"/>
      <x:c r="M20" s="609"/>
      <x:c r="N20" s="609"/>
    </x:row>
    <x:row r="21" ht="20" customHeight="1">
      <x:c r="A21" s="609"/>
      <x:c r="B21" s="609"/>
      <x:c r="C21" s="609"/>
      <x:c r="D21" s="609"/>
      <x:c r="E21" s="609"/>
      <x:c r="F21" s="609"/>
      <x:c r="G21" s="609"/>
      <x:c r="H21" s="609"/>
      <x:c r="I21" s="609"/>
      <x:c r="J21" s="609"/>
      <x:c r="K21" s="609"/>
      <x:c r="L21" s="609"/>
      <x:c r="M21" s="609"/>
      <x:c r="N21" s="609"/>
    </x:row>
    <x:row r="22" ht="20" customHeight="1">
      <x:c r="A22" s="609"/>
      <x:c r="B22" s="609"/>
      <x:c r="C22" s="609"/>
      <x:c r="D22" s="609"/>
      <x:c r="E22" s="609"/>
      <x:c r="F22" s="609"/>
      <x:c r="G22" s="609"/>
      <x:c r="H22" s="609"/>
      <x:c r="I22" s="609"/>
      <x:c r="J22" s="609"/>
      <x:c r="K22" s="609"/>
      <x:c r="L22" s="609"/>
      <x:c r="M22" s="609"/>
      <x:c r="N22" s="609"/>
    </x:row>
    <x:row r="23" ht="20" customHeight="1">
      <x:c r="A23" s="609"/>
      <x:c r="B23" s="609"/>
      <x:c r="C23" s="609"/>
      <x:c r="D23" s="609"/>
      <x:c r="E23" s="609"/>
      <x:c r="F23" s="609"/>
      <x:c r="G23" s="609"/>
      <x:c r="H23" s="609"/>
      <x:c r="I23" s="609"/>
      <x:c r="J23" s="609"/>
      <x:c r="K23" s="609"/>
      <x:c r="L23" s="609"/>
      <x:c r="M23" s="609"/>
      <x:c r="N23" s="609"/>
    </x:row>
    <x:row r="24" ht="20" customHeight="1">
      <x:c r="A24" s="609"/>
      <x:c r="B24" s="609"/>
      <x:c r="C24" s="609"/>
      <x:c r="D24" s="609"/>
      <x:c r="E24" s="609"/>
      <x:c r="F24" s="609"/>
      <x:c r="G24" s="609"/>
      <x:c r="H24" s="609"/>
      <x:c r="I24" s="609"/>
      <x:c r="J24" s="609"/>
      <x:c r="K24" s="609"/>
      <x:c r="L24" s="609"/>
      <x:c r="M24" s="609"/>
      <x:c r="N24" s="609"/>
    </x:row>
    <x:row r="25" ht="20" customHeight="1">
      <x:c r="A25" s="609"/>
      <x:c r="B25" s="609"/>
      <x:c r="C25" s="609"/>
      <x:c r="D25" s="609"/>
      <x:c r="E25" s="609"/>
      <x:c r="F25" s="609"/>
      <x:c r="G25" s="609"/>
      <x:c r="H25" s="609"/>
      <x:c r="I25" s="609"/>
      <x:c r="J25" s="609"/>
      <x:c r="K25" s="609"/>
      <x:c r="L25" s="609"/>
      <x:c r="M25" s="609"/>
      <x:c r="N25" s="609"/>
    </x:row>
    <x:row r="26" ht="20" customHeight="1">
      <x:c r="A26" s="609"/>
      <x:c r="B26" s="609"/>
      <x:c r="C26" s="609"/>
      <x:c r="D26" s="609"/>
      <x:c r="E26" s="609"/>
      <x:c r="F26" s="609"/>
      <x:c r="G26" s="609"/>
      <x:c r="H26" s="609"/>
      <x:c r="I26" s="609"/>
      <x:c r="J26" s="609"/>
      <x:c r="K26" s="609"/>
      <x:c r="L26" s="609"/>
      <x:c r="M26" s="609"/>
      <x:c r="N26" s="609"/>
    </x:row>
    <x:row r="27" ht="20" customHeight="1">
      <x:c r="A27" s="609"/>
      <x:c r="B27" s="609"/>
      <x:c r="C27" s="609"/>
      <x:c r="D27" s="609"/>
      <x:c r="E27" s="609"/>
      <x:c r="F27" s="609"/>
      <x:c r="G27" s="609"/>
      <x:c r="H27" s="609"/>
      <x:c r="I27" s="609"/>
      <x:c r="J27" s="609"/>
      <x:c r="K27" s="609"/>
      <x:c r="L27" s="609"/>
      <x:c r="M27" s="609"/>
      <x:c r="N27" s="609"/>
    </x:row>
    <x:row r="28" ht="20" customHeight="1">
      <x:c r="A28" s="609"/>
      <x:c r="B28" s="609"/>
      <x:c r="C28" s="609"/>
      <x:c r="D28" s="609"/>
      <x:c r="E28" s="609"/>
      <x:c r="F28" s="609"/>
      <x:c r="G28" s="609"/>
      <x:c r="H28" s="609"/>
      <x:c r="I28" s="609"/>
      <x:c r="J28" s="609"/>
      <x:c r="K28" s="609"/>
      <x:c r="L28" s="609"/>
      <x:c r="M28" s="609"/>
      <x:c r="N28" s="609"/>
    </x:row>
    <x:row r="29" ht="20" customHeight="1">
      <x:c r="A29" s="609"/>
      <x:c r="B29" s="609"/>
      <x:c r="C29" s="609"/>
      <x:c r="D29" s="609"/>
      <x:c r="E29" s="609"/>
      <x:c r="F29" s="609"/>
      <x:c r="G29" s="609"/>
      <x:c r="H29" s="609"/>
      <x:c r="I29" s="609"/>
      <x:c r="J29" s="609"/>
      <x:c r="K29" s="609"/>
      <x:c r="L29" s="609"/>
      <x:c r="M29" s="609"/>
      <x:c r="N29" s="609"/>
    </x:row>
    <x:row r="30" ht="20" customHeight="1">
      <x:c r="A30" s="609"/>
      <x:c r="B30" s="609"/>
      <x:c r="C30" s="609"/>
      <x:c r="D30" s="609"/>
      <x:c r="E30" s="609"/>
      <x:c r="F30" s="609"/>
      <x:c r="G30" s="609"/>
      <x:c r="H30" s="609"/>
      <x:c r="I30" s="609"/>
      <x:c r="J30" s="609"/>
      <x:c r="K30" s="609"/>
      <x:c r="L30" s="609"/>
      <x:c r="M30" s="609"/>
      <x:c r="N30" s="609"/>
    </x:row>
    <x:row r="31" ht="20" customHeight="1">
      <x:c r="A31" s="609"/>
      <x:c r="B31" s="609"/>
      <x:c r="C31" s="609"/>
      <x:c r="D31" s="609"/>
      <x:c r="E31" s="609"/>
      <x:c r="F31" s="609"/>
      <x:c r="G31" s="609"/>
      <x:c r="H31" s="609"/>
      <x:c r="I31" s="609"/>
      <x:c r="J31" s="609"/>
      <x:c r="K31" s="609"/>
      <x:c r="L31" s="609"/>
      <x:c r="M31" s="609"/>
      <x:c r="N31" s="609"/>
    </x:row>
    <x:row r="32" ht="20" customHeight="1">
      <x:c r="A32" s="609"/>
      <x:c r="B32" s="609"/>
      <x:c r="C32" s="609"/>
      <x:c r="D32" s="609"/>
      <x:c r="E32" s="609"/>
      <x:c r="F32" s="609"/>
      <x:c r="G32" s="609"/>
      <x:c r="H32" s="609"/>
      <x:c r="I32" s="609"/>
      <x:c r="J32" s="609"/>
      <x:c r="K32" s="609"/>
      <x:c r="L32" s="609"/>
      <x:c r="M32" s="609"/>
      <x:c r="N32" s="609"/>
    </x:row>
    <x:row r="33" ht="20" customHeight="1">
      <x:c r="A33" s="609"/>
      <x:c r="B33" s="609"/>
      <x:c r="C33" s="609"/>
      <x:c r="D33" s="609"/>
      <x:c r="E33" s="609"/>
      <x:c r="F33" s="609"/>
      <x:c r="G33" s="609"/>
      <x:c r="H33" s="609"/>
      <x:c r="I33" s="609"/>
      <x:c r="J33" s="609"/>
      <x:c r="K33" s="609"/>
      <x:c r="L33" s="609"/>
      <x:c r="M33" s="609"/>
      <x:c r="N33" s="609"/>
    </x:row>
    <x:row r="34" ht="20" customHeight="1">
      <x:c r="A34" s="609"/>
      <x:c r="B34" s="609"/>
      <x:c r="C34" s="609"/>
      <x:c r="D34" s="609"/>
      <x:c r="E34" s="609"/>
      <x:c r="F34" s="609"/>
      <x:c r="G34" s="609"/>
      <x:c r="H34" s="609"/>
      <x:c r="I34" s="609"/>
      <x:c r="J34" s="609"/>
      <x:c r="K34" s="609"/>
      <x:c r="L34" s="609"/>
      <x:c r="M34" s="609"/>
      <x:c r="N34" s="609"/>
    </x:row>
    <x:row r="35" ht="20" customHeight="1">
      <x:c r="A35" s="609"/>
      <x:c r="B35" s="609"/>
      <x:c r="C35" s="609"/>
      <x:c r="D35" s="609"/>
      <x:c r="E35" s="609"/>
      <x:c r="F35" s="609"/>
      <x:c r="G35" s="609"/>
      <x:c r="H35" s="609"/>
      <x:c r="I35" s="609"/>
      <x:c r="J35" s="609"/>
      <x:c r="K35" s="609"/>
      <x:c r="L35" s="609"/>
      <x:c r="M35" s="609"/>
      <x:c r="N35" s="609"/>
    </x:row>
    <x:row r="36" ht="20" customHeight="1">
      <x:c r="A36" s="609"/>
      <x:c r="B36" s="609"/>
      <x:c r="C36" s="609"/>
      <x:c r="D36" s="609"/>
      <x:c r="E36" s="609"/>
      <x:c r="F36" s="609"/>
      <x:c r="G36" s="609"/>
      <x:c r="H36" s="609"/>
      <x:c r="I36" s="609"/>
      <x:c r="J36" s="609"/>
      <x:c r="K36" s="609"/>
      <x:c r="L36" s="609"/>
      <x:c r="M36" s="609"/>
      <x:c r="N36" s="609"/>
    </x:row>
    <x:row r="37" ht="20" customHeight="1">
      <x:c r="A37" s="609"/>
      <x:c r="B37" s="609"/>
      <x:c r="C37" s="609"/>
      <x:c r="D37" s="609"/>
      <x:c r="E37" s="609"/>
      <x:c r="F37" s="609"/>
      <x:c r="G37" s="609"/>
      <x:c r="H37" s="609"/>
      <x:c r="I37" s="609"/>
      <x:c r="J37" s="609"/>
      <x:c r="K37" s="609"/>
      <x:c r="L37" s="609"/>
      <x:c r="M37" s="609"/>
      <x:c r="N37" s="609"/>
    </x:row>
    <x:row r="38" ht="20" customHeight="1">
      <x:c r="A38" s="609"/>
      <x:c r="B38" s="609"/>
      <x:c r="C38" s="609"/>
      <x:c r="D38" s="609"/>
      <x:c r="E38" s="609"/>
      <x:c r="F38" s="609"/>
      <x:c r="G38" s="609"/>
      <x:c r="H38" s="609"/>
      <x:c r="I38" s="609"/>
      <x:c r="J38" s="609"/>
      <x:c r="K38" s="609"/>
      <x:c r="L38" s="609"/>
      <x:c r="M38" s="609"/>
      <x:c r="N38" s="609"/>
    </x:row>
    <x:row r="39" ht="20" customHeight="1">
      <x:c r="A39" s="609"/>
      <x:c r="B39" s="609"/>
      <x:c r="C39" s="609"/>
      <x:c r="D39" s="609"/>
      <x:c r="E39" s="609"/>
      <x:c r="F39" s="609"/>
      <x:c r="G39" s="609"/>
      <x:c r="H39" s="609"/>
      <x:c r="I39" s="609"/>
      <x:c r="J39" s="609"/>
      <x:c r="K39" s="609"/>
      <x:c r="L39" s="609"/>
      <x:c r="M39" s="609"/>
      <x:c r="N39" s="609"/>
    </x:row>
    <x:row r="40" ht="20" customHeight="1">
      <x:c r="A40" s="609"/>
      <x:c r="B40" s="609"/>
      <x:c r="C40" s="609"/>
      <x:c r="D40" s="609"/>
      <x:c r="E40" s="609"/>
      <x:c r="F40" s="609"/>
      <x:c r="G40" s="609"/>
      <x:c r="H40" s="609"/>
      <x:c r="I40" s="609"/>
      <x:c r="J40" s="609"/>
      <x:c r="K40" s="609"/>
      <x:c r="L40" s="609"/>
      <x:c r="M40" s="609"/>
      <x:c r="N40" s="609"/>
    </x:row>
    <x:row r="41" ht="20" customHeight="1">
      <x:c r="A41" s="609"/>
      <x:c r="B41" s="609"/>
      <x:c r="C41" s="609"/>
      <x:c r="D41" s="609"/>
      <x:c r="E41" s="609"/>
      <x:c r="F41" s="609"/>
      <x:c r="G41" s="609"/>
      <x:c r="H41" s="609"/>
      <x:c r="I41" s="609"/>
      <x:c r="J41" s="609"/>
      <x:c r="K41" s="609"/>
      <x:c r="L41" s="609"/>
      <x:c r="M41" s="609"/>
      <x:c r="N41" s="609"/>
    </x:row>
    <x:row r="42" ht="20" customHeight="1">
      <x:c r="A42" s="609"/>
      <x:c r="B42" s="609"/>
      <x:c r="C42" s="609"/>
      <x:c r="D42" s="609"/>
      <x:c r="E42" s="609"/>
      <x:c r="F42" s="609"/>
      <x:c r="G42" s="609"/>
      <x:c r="H42" s="609"/>
      <x:c r="I42" s="609"/>
      <x:c r="J42" s="609"/>
      <x:c r="K42" s="609"/>
      <x:c r="L42" s="609"/>
      <x:c r="M42" s="609"/>
      <x:c r="N42" s="609"/>
    </x:row>
    <x:row r="43" ht="20" customHeight="1">
      <x:c r="A43" s="609"/>
      <x:c r="B43" s="609"/>
      <x:c r="C43" s="609"/>
      <x:c r="D43" s="609"/>
      <x:c r="E43" s="609"/>
      <x:c r="F43" s="609"/>
      <x:c r="G43" s="609"/>
      <x:c r="H43" s="609"/>
      <x:c r="I43" s="609"/>
      <x:c r="J43" s="609"/>
      <x:c r="K43" s="609"/>
      <x:c r="L43" s="609"/>
      <x:c r="M43" s="609"/>
      <x:c r="N43" s="609"/>
    </x:row>
    <x:row r="44" ht="20" customHeight="1">
      <x:c r="A44" s="609"/>
      <x:c r="B44" s="609"/>
      <x:c r="C44" s="609"/>
      <x:c r="D44" s="609"/>
      <x:c r="E44" s="609"/>
      <x:c r="F44" s="609"/>
      <x:c r="G44" s="609"/>
      <x:c r="H44" s="609"/>
      <x:c r="I44" s="609"/>
      <x:c r="J44" s="609"/>
      <x:c r="K44" s="609"/>
      <x:c r="L44" s="609"/>
      <x:c r="M44" s="609"/>
      <x:c r="N44" s="609"/>
    </x:row>
    <x:row r="45" ht="20" customHeight="1">
      <x:c r="A45" s="609"/>
      <x:c r="B45" s="609"/>
      <x:c r="C45" s="609"/>
      <x:c r="D45" s="609"/>
      <x:c r="E45" s="609"/>
      <x:c r="F45" s="609"/>
      <x:c r="G45" s="609"/>
      <x:c r="H45" s="609"/>
      <x:c r="I45" s="609"/>
      <x:c r="J45" s="609"/>
      <x:c r="K45" s="609"/>
      <x:c r="L45" s="609"/>
      <x:c r="M45" s="609"/>
      <x:c r="N45" s="609"/>
    </x:row>
    <x:row r="46" ht="20" customHeight="1">
      <x:c r="A46" s="609"/>
      <x:c r="B46" s="609"/>
      <x:c r="C46" s="609"/>
      <x:c r="D46" s="609"/>
      <x:c r="E46" s="609"/>
      <x:c r="F46" s="609"/>
      <x:c r="G46" s="609"/>
      <x:c r="H46" s="609"/>
      <x:c r="I46" s="609"/>
      <x:c r="J46" s="609"/>
      <x:c r="K46" s="609"/>
      <x:c r="L46" s="609"/>
      <x:c r="M46" s="609"/>
      <x:c r="N46" s="609"/>
    </x:row>
    <x:row r="47" ht="20" customHeight="1">
      <x:c r="A47" s="609"/>
      <x:c r="B47" s="609"/>
      <x:c r="C47" s="609"/>
      <x:c r="D47" s="609"/>
      <x:c r="E47" s="609"/>
      <x:c r="F47" s="609"/>
      <x:c r="G47" s="609"/>
      <x:c r="H47" s="609"/>
      <x:c r="I47" s="609"/>
      <x:c r="J47" s="609"/>
      <x:c r="K47" s="609"/>
      <x:c r="L47" s="609"/>
      <x:c r="M47" s="609"/>
      <x:c r="N47" s="609"/>
    </x:row>
    <x:row r="48" ht="20" customHeight="1">
      <x:c r="A48" s="609"/>
      <x:c r="B48" s="609"/>
      <x:c r="C48" s="609"/>
      <x:c r="D48" s="609"/>
      <x:c r="E48" s="609"/>
      <x:c r="F48" s="609"/>
      <x:c r="G48" s="609"/>
      <x:c r="H48" s="609"/>
      <x:c r="I48" s="609"/>
      <x:c r="J48" s="609"/>
      <x:c r="K48" s="609"/>
      <x:c r="L48" s="609"/>
      <x:c r="M48" s="609"/>
      <x:c r="N48" s="609"/>
    </x:row>
    <x:row r="49" ht="20" customHeight="1">
      <x:c r="A49" s="609"/>
      <x:c r="B49" s="609"/>
      <x:c r="C49" s="609"/>
      <x:c r="D49" s="609"/>
      <x:c r="E49" s="609"/>
      <x:c r="F49" s="609"/>
      <x:c r="G49" s="609"/>
      <x:c r="H49" s="609"/>
      <x:c r="I49" s="609"/>
      <x:c r="J49" s="609"/>
      <x:c r="K49" s="609"/>
      <x:c r="L49" s="609"/>
      <x:c r="M49" s="609"/>
      <x:c r="N49" s="609"/>
    </x:row>
    <x:row r="50" ht="20" customHeight="1">
      <x:c r="A50" s="609"/>
      <x:c r="B50" s="609"/>
      <x:c r="C50" s="609"/>
      <x:c r="D50" s="609"/>
      <x:c r="E50" s="609"/>
      <x:c r="F50" s="609"/>
      <x:c r="G50" s="609"/>
      <x:c r="H50" s="609"/>
      <x:c r="I50" s="609"/>
      <x:c r="J50" s="609"/>
      <x:c r="K50" s="609"/>
      <x:c r="L50" s="609"/>
      <x:c r="M50" s="609"/>
      <x:c r="N50" s="609"/>
    </x:row>
    <x:row r="51" ht="20" customHeight="1">
      <x:c r="A51" s="609"/>
      <x:c r="B51" s="609"/>
      <x:c r="C51" s="609"/>
      <x:c r="D51" s="609"/>
      <x:c r="E51" s="609"/>
      <x:c r="F51" s="609"/>
      <x:c r="G51" s="609"/>
      <x:c r="H51" s="609"/>
      <x:c r="I51" s="609"/>
      <x:c r="J51" s="609"/>
      <x:c r="K51" s="609"/>
      <x:c r="L51" s="609"/>
      <x:c r="M51" s="609"/>
      <x:c r="N51" s="609"/>
    </x:row>
    <x:row r="52" ht="20" customHeight="1">
      <x:c r="A52" s="609"/>
      <x:c r="B52" s="609"/>
      <x:c r="C52" s="609"/>
      <x:c r="D52" s="609"/>
      <x:c r="E52" s="609"/>
      <x:c r="F52" s="609"/>
      <x:c r="G52" s="609"/>
      <x:c r="H52" s="609"/>
      <x:c r="I52" s="609"/>
      <x:c r="J52" s="609"/>
      <x:c r="K52" s="609"/>
      <x:c r="L52" s="609"/>
      <x:c r="M52" s="609"/>
      <x:c r="N52" s="609"/>
    </x:row>
    <x:row r="53" ht="20" customHeight="1">
      <x:c r="A53" s="609"/>
      <x:c r="B53" s="609"/>
      <x:c r="C53" s="609"/>
      <x:c r="D53" s="609"/>
      <x:c r="E53" s="609"/>
      <x:c r="F53" s="609"/>
      <x:c r="G53" s="609"/>
      <x:c r="H53" s="609"/>
      <x:c r="I53" s="609"/>
      <x:c r="J53" s="609"/>
      <x:c r="K53" s="609"/>
      <x:c r="L53" s="609"/>
      <x:c r="M53" s="609"/>
      <x:c r="N53" s="609"/>
    </x:row>
    <x:row r="54" ht="20" customHeight="1">
      <x:c r="A54" s="609"/>
      <x:c r="B54" s="609"/>
      <x:c r="C54" s="609"/>
      <x:c r="D54" s="609"/>
      <x:c r="E54" s="609"/>
      <x:c r="F54" s="609"/>
      <x:c r="G54" s="609"/>
      <x:c r="H54" s="609"/>
      <x:c r="I54" s="609"/>
      <x:c r="J54" s="609"/>
      <x:c r="K54" s="609"/>
      <x:c r="L54" s="609"/>
      <x:c r="M54" s="609"/>
      <x:c r="N54" s="609"/>
    </x:row>
    <x:row r="55" ht="20" customHeight="1">
      <x:c r="A55" s="609"/>
      <x:c r="B55" s="609"/>
      <x:c r="C55" s="609"/>
      <x:c r="D55" s="609"/>
      <x:c r="E55" s="609"/>
      <x:c r="F55" s="609"/>
      <x:c r="G55" s="609"/>
      <x:c r="H55" s="609"/>
      <x:c r="I55" s="609"/>
      <x:c r="J55" s="609"/>
      <x:c r="K55" s="609"/>
      <x:c r="L55" s="609"/>
      <x:c r="M55" s="609"/>
      <x:c r="N55" s="609"/>
    </x:row>
    <x:row r="56" ht="20" customHeight="1">
      <x:c r="A56" s="609"/>
      <x:c r="B56" s="609"/>
      <x:c r="C56" s="609"/>
      <x:c r="D56" s="609"/>
      <x:c r="E56" s="609"/>
      <x:c r="F56" s="609"/>
      <x:c r="G56" s="609"/>
      <x:c r="H56" s="609"/>
      <x:c r="I56" s="609"/>
      <x:c r="J56" s="609"/>
      <x:c r="K56" s="609"/>
      <x:c r="L56" s="609"/>
      <x:c r="M56" s="609"/>
      <x:c r="N56" s="609"/>
    </x:row>
    <x:row r="57" ht="20" customHeight="1">
      <x:c r="A57" s="609"/>
      <x:c r="B57" s="609"/>
      <x:c r="C57" s="609"/>
      <x:c r="D57" s="609"/>
      <x:c r="E57" s="609"/>
      <x:c r="F57" s="609"/>
      <x:c r="G57" s="609"/>
      <x:c r="H57" s="609"/>
      <x:c r="I57" s="609"/>
      <x:c r="J57" s="609"/>
      <x:c r="K57" s="609"/>
      <x:c r="L57" s="609"/>
      <x:c r="M57" s="609"/>
      <x:c r="N57" s="609"/>
    </x:row>
    <x:row r="58" ht="20" customHeight="1">
      <x:c r="A58" s="609"/>
      <x:c r="B58" s="609"/>
      <x:c r="C58" s="609"/>
      <x:c r="D58" s="609"/>
      <x:c r="E58" s="609"/>
      <x:c r="F58" s="609"/>
      <x:c r="G58" s="609"/>
      <x:c r="H58" s="609"/>
      <x:c r="I58" s="609"/>
      <x:c r="J58" s="609"/>
      <x:c r="K58" s="609"/>
      <x:c r="L58" s="609"/>
      <x:c r="M58" s="609"/>
      <x:c r="N58" s="609"/>
    </x:row>
    <x:row r="59" ht="20" customHeight="1">
      <x:c r="A59" s="609"/>
      <x:c r="B59" s="609"/>
      <x:c r="C59" s="609"/>
      <x:c r="D59" s="609"/>
      <x:c r="E59" s="609"/>
      <x:c r="F59" s="609"/>
      <x:c r="G59" s="609"/>
      <x:c r="H59" s="609"/>
      <x:c r="I59" s="609"/>
      <x:c r="J59" s="609"/>
      <x:c r="K59" s="609"/>
      <x:c r="L59" s="609"/>
      <x:c r="M59" s="609"/>
      <x:c r="N59" s="609"/>
    </x:row>
    <x:row r="60" ht="20" customHeight="1">
      <x:c r="A60" s="609"/>
      <x:c r="B60" s="609"/>
      <x:c r="C60" s="609"/>
      <x:c r="D60" s="609"/>
      <x:c r="E60" s="609"/>
      <x:c r="F60" s="609"/>
      <x:c r="G60" s="609"/>
      <x:c r="H60" s="609"/>
      <x:c r="I60" s="609"/>
      <x:c r="J60" s="609"/>
      <x:c r="K60" s="609"/>
      <x:c r="L60" s="609"/>
      <x:c r="M60" s="609"/>
      <x:c r="N60" s="609"/>
    </x:row>
  </x:sheetData>
  <x:mergeCells>
    <x:mergeCell ref="A1:N2"/>
    <x:mergeCell ref="A3:N3"/>
    <x:mergeCell ref="A6:C8"/>
    <x:mergeCell ref="A5:C5"/>
    <x:mergeCell ref="E6:G8"/>
    <x:mergeCell ref="E5:G5"/>
    <x:mergeCell ref="I6:K8"/>
    <x:mergeCell ref="I5:K5"/>
    <x:mergeCell ref="M6:N8"/>
    <x:mergeCell ref="M5:N5"/>
    <x:mergeCell ref="A11:N11"/>
  </x:mergeCells>
  <x:conditionalFormatting sqref="G13:G17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drawing xmlns:r="http://schemas.openxmlformats.org/officeDocument/2006/relationships" r:id="R2ff021cd13dc4b91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35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513" t="str">
        <x:v>Booking Details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  <x:c r="N1" s="513"/>
    </x:row>
    <x:row r="2" ht="20" customHeight="1">
      <x:c r="A2" s="513"/>
      <x:c r="B2" s="513"/>
      <x:c r="C2" s="513"/>
      <x:c r="D2" s="513"/>
      <x:c r="E2" s="513"/>
      <x:c r="F2" s="513"/>
      <x:c r="G2" s="513"/>
      <x:c r="H2" s="513"/>
      <x:c r="I2" s="513"/>
      <x:c r="J2" s="513"/>
      <x:c r="K2" s="513"/>
      <x:c r="L2" s="513"/>
      <x:c r="M2" s="513"/>
      <x:c r="N2" s="513"/>
    </x:row>
    <x:row r="3" ht="20" customHeight="1">
      <x:c r="A3" s="514" t="str">
        <x:v>Booking volume, customer contribution and processing performance</x:v>
      </x:c>
      <x:c r="B3" s="514"/>
      <x:c r="C3" s="514"/>
      <x:c r="D3" s="514"/>
      <x:c r="E3" s="514"/>
      <x:c r="F3" s="514"/>
      <x:c r="G3" s="514"/>
      <x:c r="H3" s="514"/>
      <x:c r="I3" s="514"/>
      <x:c r="J3" s="514"/>
      <x:c r="K3" s="514"/>
      <x:c r="L3" s="514"/>
      <x:c r="M3" s="514"/>
      <x:c r="N3" s="514"/>
    </x:row>
    <x:row r="4" ht="20" customHeight="1">
      <x:c r="A4" s="609"/>
      <x:c r="B4" s="609"/>
      <x:c r="C4" s="609"/>
      <x:c r="D4" s="609"/>
      <x:c r="E4" s="609"/>
      <x:c r="F4" s="609"/>
      <x:c r="G4" s="609"/>
      <x:c r="H4" s="609"/>
      <x:c r="I4" s="609"/>
      <x:c r="J4" s="609"/>
      <x:c r="K4" s="609"/>
      <x:c r="L4" s="609"/>
      <x:c r="M4" s="609"/>
      <x:c r="N4" s="609"/>
    </x:row>
    <x:row r="5" ht="20" customHeight="1">
      <x:c r="A5" s="516" t="str">
        <x:v>TOTAL BOOKING VOLUME</x:v>
      </x:c>
      <x:c r="B5" s="517"/>
      <x:c r="C5" s="518"/>
      <x:c r="D5" s="609"/>
      <x:c r="E5" s="519" t="str">
        <x:v>SEA BOOKING VOLUME</x:v>
      </x:c>
      <x:c r="F5" s="520"/>
      <x:c r="G5" s="521"/>
      <x:c r="H5" s="609"/>
      <x:c r="I5" s="522" t="str">
        <x:v>AIR BOOKING VOLUME</x:v>
      </x:c>
      <x:c r="J5" s="523"/>
      <x:c r="K5" s="524"/>
      <x:c r="L5" s="609"/>
      <x:c r="M5" s="525" t="str">
        <x:v>AVG. PROCESS TIME</x:v>
      </x:c>
      <x:c r="N5" s="526"/>
    </x:row>
    <x:row r="6" ht="20" customHeight="1">
      <x:c r="A6" s="527" t="n">
        <x:f>SUM(Data_Booking!$D$2:$D$1000)</x:f>
        <x:v>20</x:v>
      </x:c>
      <x:c r="B6" s="528"/>
      <x:c r="C6" s="529"/>
      <x:c r="D6" s="609"/>
      <x:c r="E6" s="624" t="n">
        <x:f>SUMIF(Data_Booking!$C$2:$C$1000,"Sea",Data_Booking!$D$2:$D$1000)</x:f>
        <x:v>3</x:v>
      </x:c>
      <x:c r="F6" s="531"/>
      <x:c r="G6" s="532"/>
      <x:c r="H6" s="609"/>
      <x:c r="I6" s="533" t="n">
        <x:f>SUMIF(Data_Booking!$C$2:$C$1000,"Air",Data_Booking!$D$2:$D$1000)</x:f>
        <x:v>17</x:v>
      </x:c>
      <x:c r="J6" s="534"/>
      <x:c r="K6" s="535"/>
      <x:c r="L6" s="609"/>
      <x:c r="M6" s="660" t="n">
        <x:f>IFERROR(AVERAGE(Data_Booking!$E$2:$E$1000),0)</x:f>
        <x:v>4.916666666666667</x:v>
      </x:c>
      <x:c r="N6" s="537"/>
    </x:row>
    <x:row r="7" ht="20" customHeight="1">
      <x:c r="A7" s="538"/>
      <x:c r="B7" s="539"/>
      <x:c r="C7" s="540"/>
      <x:c r="D7" s="609"/>
      <x:c r="E7" s="541"/>
      <x:c r="F7" s="542"/>
      <x:c r="G7" s="543"/>
      <x:c r="H7" s="609"/>
      <x:c r="I7" s="544"/>
      <x:c r="J7" s="545"/>
      <x:c r="K7" s="546"/>
      <x:c r="L7" s="609"/>
      <x:c r="M7" s="547"/>
      <x:c r="N7" s="548"/>
    </x:row>
    <x:row r="8" ht="20" customHeight="1">
      <x:c r="A8" s="549"/>
      <x:c r="B8" s="550"/>
      <x:c r="C8" s="551"/>
      <x:c r="D8" s="609"/>
      <x:c r="E8" s="552"/>
      <x:c r="F8" s="553"/>
      <x:c r="G8" s="554"/>
      <x:c r="H8" s="609"/>
      <x:c r="I8" s="555"/>
      <x:c r="J8" s="556"/>
      <x:c r="K8" s="557"/>
      <x:c r="L8" s="609"/>
      <x:c r="M8" s="558"/>
      <x:c r="N8" s="559"/>
    </x:row>
    <x:row r="9" ht="20" customHeight="1">
      <x:c r="A9" s="609"/>
      <x:c r="B9" s="609"/>
      <x:c r="C9" s="609"/>
      <x:c r="D9" s="609"/>
      <x:c r="E9" s="609"/>
      <x:c r="F9" s="609"/>
      <x:c r="G9" s="609"/>
      <x:c r="H9" s="609"/>
      <x:c r="I9" s="609"/>
      <x:c r="J9" s="609"/>
      <x:c r="K9" s="609"/>
      <x:c r="L9" s="609"/>
      <x:c r="M9" s="609"/>
      <x:c r="N9" s="609"/>
    </x:row>
    <x:row r="10" ht="20" customHeight="1">
      <x:c r="A10" s="609"/>
      <x:c r="B10" s="609"/>
      <x:c r="C10" s="609"/>
      <x:c r="D10" s="609"/>
      <x:c r="E10" s="609"/>
      <x:c r="F10" s="609"/>
      <x:c r="G10" s="609"/>
      <x:c r="H10" s="609"/>
      <x:c r="I10" s="609"/>
      <x:c r="J10" s="609"/>
      <x:c r="K10" s="609"/>
      <x:c r="L10" s="609"/>
      <x:c r="M10" s="609"/>
      <x:c r="N10" s="609"/>
    </x:row>
    <x:row r="11" ht="20" customHeight="1">
      <x:c r="A11" s="643" t="str">
        <x:v>BOOKING DATA</x:v>
      </x:c>
      <x:c r="B11" s="643"/>
      <x:c r="C11" s="643"/>
      <x:c r="D11" s="643"/>
      <x:c r="E11" s="643"/>
      <x:c r="F11" s="643"/>
      <x:c r="G11" s="643"/>
      <x:c r="H11" s="643"/>
      <x:c r="I11" s="643"/>
      <x:c r="J11" s="643"/>
      <x:c r="K11" s="643"/>
      <x:c r="L11" s="643"/>
      <x:c r="M11" s="643"/>
      <x:c r="N11" s="643"/>
    </x:row>
    <x:row r="12" ht="20" customHeight="1">
      <x:c r="A12" s="668" t="str">
        <x:v>Booking Date</x:v>
      </x:c>
      <x:c r="B12" s="669" t="str">
        <x:v>Customer</x:v>
      </x:c>
      <x:c r="C12" s="669" t="str">
        <x:v>Mode</x:v>
      </x:c>
      <x:c r="D12" s="669" t="str">
        <x:v>Booking Qty</x:v>
      </x:c>
      <x:c r="E12" s="669" t="str">
        <x:v>Processing Time (Min)</x:v>
      </x:c>
      <x:c r="F12" s="669" t="str">
        <x:v>Status</x:v>
      </x:c>
      <x:c r="G12" s="669" t="str">
        <x:v>System Issue</x:v>
      </x:c>
      <x:c r="H12" s="669" t="str">
        <x:v>Week</x:v>
      </x:c>
      <x:c r="I12" s="669" t="str">
        <x:v>Month</x:v>
      </x:c>
      <x:c r="J12" s="669" t="str">
        <x:v>PIC</x:v>
      </x:c>
      <x:c r="K12" s="670" t="str">
        <x:v>Remark</x:v>
      </x:c>
      <x:c r="L12" s="609"/>
      <x:c r="M12" s="609"/>
      <x:c r="N12" s="609"/>
    </x:row>
    <x:row r="13" ht="20" customHeight="1">
      <x:c r="A13" s="671" t="n">
        <x:v>46225</x:v>
      </x:c>
      <x:c r="B13" s="651" t="str">
        <x:v>SDVN</x:v>
      </x:c>
      <x:c r="C13" s="651" t="str">
        <x:v>Sea</x:v>
      </x:c>
      <x:c r="D13" s="651" t="n">
        <x:v>3</x:v>
      </x:c>
      <x:c r="E13" s="651" t="n">
        <x:v>3</x:v>
      </x:c>
      <x:c r="F13" s="651" t="str">
        <x:v>Normal</x:v>
      </x:c>
      <x:c r="G13" s="651" t="str">
        <x:v>No</x:v>
      </x:c>
      <x:c r="H13" s="651" t="n">
        <x:v>30</x:v>
      </x:c>
      <x:c r="I13" s="651" t="str">
        <x:v>Jul-2026</x:v>
      </x:c>
      <x:c r="J13" s="651" t="str">
        <x:v>Ngọc</x:v>
      </x:c>
      <x:c r="K13" s="672"/>
      <x:c r="L13" s="609"/>
      <x:c r="M13" s="609"/>
      <x:c r="N13" s="609"/>
    </x:row>
    <x:row r="14" ht="20" customHeight="1">
      <x:c r="A14" s="671" t="n">
        <x:v>46226</x:v>
      </x:c>
      <x:c r="B14" s="651" t="str">
        <x:v>SDVN</x:v>
      </x:c>
      <x:c r="C14" s="651" t="str">
        <x:v>Air</x:v>
      </x:c>
      <x:c r="D14" s="651" t="n">
        <x:v>1</x:v>
      </x:c>
      <x:c r="E14" s="651" t="n">
        <x:v>5</x:v>
      </x:c>
      <x:c r="F14" s="651" t="str">
        <x:v>Slow</x:v>
      </x:c>
      <x:c r="G14" s="651" t="str">
        <x:v>Yes</x:v>
      </x:c>
      <x:c r="H14" s="651" t="n">
        <x:v>30</x:v>
      </x:c>
      <x:c r="I14" s="651" t="str">
        <x:v>Jul-2026</x:v>
      </x:c>
      <x:c r="J14" s="651" t="str">
        <x:v>Ngọc</x:v>
      </x:c>
      <x:c r="K14" s="672" t="str">
        <x:v>Hệ thống phản hồi chậm</x:v>
      </x:c>
      <x:c r="L14" s="609"/>
      <x:c r="M14" s="609"/>
      <x:c r="N14" s="609"/>
    </x:row>
    <x:row r="15" ht="20" customHeight="1">
      <x:c r="A15" s="671" t="n">
        <x:v>46226</x:v>
      </x:c>
      <x:c r="B15" s="651" t="str">
        <x:v>NGSDVN</x:v>
      </x:c>
      <x:c r="C15" s="651" t="str">
        <x:v>Air</x:v>
      </x:c>
      <x:c r="D15" s="651" t="n">
        <x:v>3</x:v>
      </x:c>
      <x:c r="E15" s="651" t="n">
        <x:v>5</x:v>
      </x:c>
      <x:c r="F15" s="651" t="str">
        <x:v>Slow</x:v>
      </x:c>
      <x:c r="G15" s="651" t="str">
        <x:v>Yes</x:v>
      </x:c>
      <x:c r="H15" s="651" t="n">
        <x:v>30</x:v>
      </x:c>
      <x:c r="I15" s="651" t="str">
        <x:v>Jul-2026</x:v>
      </x:c>
      <x:c r="J15" s="651" t="str">
        <x:v>Ngọc</x:v>
      </x:c>
      <x:c r="K15" s="672" t="str">
        <x:v>Hệ thống phản hồi chậm</x:v>
      </x:c>
      <x:c r="L15" s="609"/>
      <x:c r="M15" s="609"/>
      <x:c r="N15" s="609"/>
    </x:row>
    <x:row r="16" ht="20" customHeight="1">
      <x:c r="A16" s="671" t="n">
        <x:v>46227</x:v>
      </x:c>
      <x:c r="B16" s="651" t="str">
        <x:v>SDVN</x:v>
      </x:c>
      <x:c r="C16" s="651" t="str">
        <x:v>Air</x:v>
      </x:c>
      <x:c r="D16" s="651" t="n">
        <x:v>8</x:v>
      </x:c>
      <x:c r="E16" s="651" t="n">
        <x:v>5</x:v>
      </x:c>
      <x:c r="F16" s="651" t="str">
        <x:v>Slow</x:v>
      </x:c>
      <x:c r="G16" s="651" t="str">
        <x:v>Yes</x:v>
      </x:c>
      <x:c r="H16" s="651" t="n">
        <x:v>30</x:v>
      </x:c>
      <x:c r="I16" s="651" t="str">
        <x:v>Jul-2026</x:v>
      </x:c>
      <x:c r="J16" s="651" t="str">
        <x:v>Ngọc</x:v>
      </x:c>
      <x:c r="K16" s="672" t="str">
        <x:v>Hệ thống phản hồi chậm</x:v>
      </x:c>
      <x:c r="L16" s="609"/>
      <x:c r="M16" s="609"/>
      <x:c r="N16" s="609"/>
    </x:row>
    <x:row r="17" ht="20" customHeight="1">
      <x:c r="A17" s="671" t="n">
        <x:v>46227</x:v>
      </x:c>
      <x:c r="B17" s="651" t="str">
        <x:v>NGSDVN</x:v>
      </x:c>
      <x:c r="C17" s="651" t="str">
        <x:v>Air</x:v>
      </x:c>
      <x:c r="D17" s="651" t="n">
        <x:v>2</x:v>
      </x:c>
      <x:c r="E17" s="651" t="n">
        <x:v>5</x:v>
      </x:c>
      <x:c r="F17" s="651" t="str">
        <x:v>Slow</x:v>
      </x:c>
      <x:c r="G17" s="651" t="str">
        <x:v>Yes</x:v>
      </x:c>
      <x:c r="H17" s="651" t="n">
        <x:v>30</x:v>
      </x:c>
      <x:c r="I17" s="651" t="str">
        <x:v>Jul-2026</x:v>
      </x:c>
      <x:c r="J17" s="651" t="str">
        <x:v>Ngọc</x:v>
      </x:c>
      <x:c r="K17" s="672" t="str">
        <x:v>Hệ thống phản hồi chậm</x:v>
      </x:c>
      <x:c r="L17" s="609"/>
      <x:c r="M17" s="609"/>
      <x:c r="N17" s="609"/>
    </x:row>
    <x:row r="18" ht="20" customHeight="1">
      <x:c r="A18" s="673" t="n">
        <x:v>46230</x:v>
      </x:c>
      <x:c r="B18" s="656" t="str">
        <x:v>SDVN</x:v>
      </x:c>
      <x:c r="C18" s="656" t="str">
        <x:v>Air</x:v>
      </x:c>
      <x:c r="D18" s="656" t="n">
        <x:v>3</x:v>
      </x:c>
      <x:c r="E18" s="656" t="n">
        <x:v>6.5</x:v>
      </x:c>
      <x:c r="F18" s="656" t="str">
        <x:v>Slow</x:v>
      </x:c>
      <x:c r="G18" s="656" t="str">
        <x:v>Yes</x:v>
      </x:c>
      <x:c r="H18" s="656" t="n">
        <x:v>31</x:v>
      </x:c>
      <x:c r="I18" s="656" t="str">
        <x:v>Jul-2026</x:v>
      </x:c>
      <x:c r="J18" s="656" t="str">
        <x:v>Ngọc</x:v>
      </x:c>
      <x:c r="K18" s="674" t="str">
        <x:v>Hệ thống phản hồi chậm</x:v>
      </x:c>
      <x:c r="L18" s="609"/>
      <x:c r="M18" s="609"/>
      <x:c r="N18" s="609"/>
    </x:row>
    <x:row r="19" ht="20" customHeight="1">
      <x:c r="A19" s="609"/>
      <x:c r="B19" s="609"/>
      <x:c r="C19" s="609"/>
      <x:c r="D19" s="609"/>
      <x:c r="E19" s="609"/>
      <x:c r="F19" s="609"/>
      <x:c r="G19" s="609"/>
      <x:c r="H19" s="609"/>
      <x:c r="I19" s="609"/>
      <x:c r="J19" s="609"/>
      <x:c r="K19" s="609"/>
      <x:c r="L19" s="609"/>
      <x:c r="M19" s="609"/>
      <x:c r="N19" s="609"/>
    </x:row>
    <x:row r="20" ht="20" customHeight="1">
      <x:c r="A20" s="609"/>
      <x:c r="B20" s="609"/>
      <x:c r="C20" s="609"/>
      <x:c r="D20" s="609"/>
      <x:c r="E20" s="609"/>
      <x:c r="F20" s="609"/>
      <x:c r="G20" s="609"/>
      <x:c r="H20" s="609"/>
      <x:c r="I20" s="609"/>
      <x:c r="J20" s="609"/>
      <x:c r="K20" s="609"/>
      <x:c r="L20" s="609"/>
      <x:c r="M20" s="609"/>
      <x:c r="N20" s="609"/>
    </x:row>
    <x:row r="21" ht="20" customHeight="1">
      <x:c r="A21" s="609"/>
      <x:c r="B21" s="609"/>
      <x:c r="C21" s="609"/>
      <x:c r="D21" s="609"/>
      <x:c r="E21" s="609"/>
      <x:c r="F21" s="609"/>
      <x:c r="G21" s="609"/>
      <x:c r="H21" s="609"/>
      <x:c r="I21" s="609"/>
      <x:c r="J21" s="609"/>
      <x:c r="K21" s="609"/>
      <x:c r="L21" s="609"/>
      <x:c r="M21" s="609"/>
      <x:c r="N21" s="609"/>
    </x:row>
    <x:row r="22" ht="20" customHeight="1">
      <x:c r="A22" s="609"/>
      <x:c r="B22" s="609"/>
      <x:c r="C22" s="609"/>
      <x:c r="D22" s="609"/>
      <x:c r="E22" s="609"/>
      <x:c r="F22" s="609"/>
      <x:c r="G22" s="609"/>
      <x:c r="H22" s="609"/>
      <x:c r="I22" s="609"/>
      <x:c r="J22" s="609"/>
      <x:c r="K22" s="609"/>
      <x:c r="L22" s="609"/>
      <x:c r="M22" s="609"/>
      <x:c r="N22" s="609"/>
    </x:row>
    <x:row r="23" ht="20" customHeight="1">
      <x:c r="A23" s="609"/>
      <x:c r="B23" s="609"/>
      <x:c r="C23" s="609"/>
      <x:c r="D23" s="609"/>
      <x:c r="E23" s="609"/>
      <x:c r="F23" s="609"/>
      <x:c r="G23" s="609"/>
      <x:c r="H23" s="609"/>
      <x:c r="I23" s="609"/>
      <x:c r="J23" s="609"/>
      <x:c r="K23" s="609"/>
      <x:c r="L23" s="609"/>
      <x:c r="M23" s="609"/>
      <x:c r="N23" s="609"/>
    </x:row>
    <x:row r="24" ht="20" customHeight="1">
      <x:c r="A24" s="609"/>
      <x:c r="B24" s="609"/>
      <x:c r="C24" s="609"/>
      <x:c r="D24" s="609"/>
      <x:c r="E24" s="609"/>
      <x:c r="F24" s="609"/>
      <x:c r="G24" s="609"/>
      <x:c r="H24" s="609"/>
      <x:c r="I24" s="609"/>
      <x:c r="J24" s="609"/>
      <x:c r="K24" s="609"/>
      <x:c r="L24" s="609"/>
      <x:c r="M24" s="609"/>
      <x:c r="N24" s="609"/>
    </x:row>
    <x:row r="25" ht="20" customHeight="1">
      <x:c r="A25" s="609"/>
      <x:c r="B25" s="609"/>
      <x:c r="C25" s="609"/>
      <x:c r="D25" s="609"/>
      <x:c r="E25" s="609"/>
      <x:c r="F25" s="609"/>
      <x:c r="G25" s="609"/>
      <x:c r="H25" s="609"/>
      <x:c r="I25" s="609"/>
      <x:c r="J25" s="609"/>
      <x:c r="K25" s="609"/>
      <x:c r="L25" s="609"/>
      <x:c r="M25" s="609"/>
      <x:c r="N25" s="609"/>
    </x:row>
    <x:row r="26" ht="20" customHeight="1">
      <x:c r="A26" s="609"/>
      <x:c r="B26" s="609"/>
      <x:c r="C26" s="609"/>
      <x:c r="D26" s="609"/>
      <x:c r="E26" s="609"/>
      <x:c r="F26" s="609"/>
      <x:c r="G26" s="609"/>
      <x:c r="H26" s="609"/>
      <x:c r="I26" s="609"/>
      <x:c r="J26" s="609"/>
      <x:c r="K26" s="609"/>
      <x:c r="L26" s="609"/>
      <x:c r="M26" s="609"/>
      <x:c r="N26" s="609"/>
    </x:row>
    <x:row r="27" ht="20" customHeight="1">
      <x:c r="A27" s="609"/>
      <x:c r="B27" s="609"/>
      <x:c r="C27" s="609"/>
      <x:c r="D27" s="609"/>
      <x:c r="E27" s="609"/>
      <x:c r="F27" s="609"/>
      <x:c r="G27" s="609"/>
      <x:c r="H27" s="609"/>
      <x:c r="I27" s="609"/>
      <x:c r="J27" s="609"/>
      <x:c r="K27" s="609"/>
      <x:c r="L27" s="609"/>
      <x:c r="M27" s="609"/>
      <x:c r="N27" s="609"/>
    </x:row>
    <x:row r="28" ht="20" customHeight="1">
      <x:c r="A28" s="609"/>
      <x:c r="B28" s="609"/>
      <x:c r="C28" s="609"/>
      <x:c r="D28" s="609"/>
      <x:c r="E28" s="609"/>
      <x:c r="F28" s="609"/>
      <x:c r="G28" s="609"/>
      <x:c r="H28" s="609"/>
      <x:c r="I28" s="609"/>
      <x:c r="J28" s="609"/>
      <x:c r="K28" s="609"/>
      <x:c r="L28" s="609"/>
      <x:c r="M28" s="609"/>
      <x:c r="N28" s="609"/>
    </x:row>
    <x:row r="29" ht="20" customHeight="1">
      <x:c r="A29" s="609"/>
      <x:c r="B29" s="609"/>
      <x:c r="C29" s="609"/>
      <x:c r="D29" s="609"/>
      <x:c r="E29" s="609"/>
      <x:c r="F29" s="609"/>
      <x:c r="G29" s="609"/>
      <x:c r="H29" s="609"/>
      <x:c r="I29" s="609"/>
      <x:c r="J29" s="609"/>
      <x:c r="K29" s="609"/>
      <x:c r="L29" s="609"/>
      <x:c r="M29" s="609"/>
      <x:c r="N29" s="609"/>
    </x:row>
    <x:row r="30" ht="20" customHeight="1">
      <x:c r="A30" s="609"/>
      <x:c r="B30" s="609"/>
      <x:c r="C30" s="609"/>
      <x:c r="D30" s="609"/>
      <x:c r="E30" s="609"/>
      <x:c r="F30" s="609"/>
      <x:c r="G30" s="609"/>
      <x:c r="H30" s="609"/>
      <x:c r="I30" s="609"/>
      <x:c r="J30" s="609"/>
      <x:c r="K30" s="609"/>
      <x:c r="L30" s="609"/>
      <x:c r="M30" s="609"/>
      <x:c r="N30" s="609"/>
    </x:row>
    <x:row r="31" ht="20" customHeight="1">
      <x:c r="A31" s="609"/>
      <x:c r="B31" s="609"/>
      <x:c r="C31" s="609"/>
      <x:c r="D31" s="609"/>
      <x:c r="E31" s="609"/>
      <x:c r="F31" s="609"/>
      <x:c r="G31" s="609"/>
      <x:c r="H31" s="609"/>
      <x:c r="I31" s="609"/>
      <x:c r="J31" s="609"/>
      <x:c r="K31" s="609"/>
      <x:c r="L31" s="609"/>
      <x:c r="M31" s="609"/>
      <x:c r="N31" s="609"/>
    </x:row>
    <x:row r="32" ht="20" customHeight="1">
      <x:c r="A32" s="609"/>
      <x:c r="B32" s="609"/>
      <x:c r="C32" s="609"/>
      <x:c r="D32" s="609"/>
      <x:c r="E32" s="609"/>
      <x:c r="F32" s="609"/>
      <x:c r="G32" s="609"/>
      <x:c r="H32" s="609"/>
      <x:c r="I32" s="609"/>
      <x:c r="J32" s="609"/>
      <x:c r="K32" s="609"/>
      <x:c r="L32" s="609"/>
      <x:c r="M32" s="609"/>
      <x:c r="N32" s="609"/>
    </x:row>
    <x:row r="33" ht="20" customHeight="1">
      <x:c r="A33" s="609"/>
      <x:c r="B33" s="609"/>
      <x:c r="C33" s="609"/>
      <x:c r="D33" s="609"/>
      <x:c r="E33" s="609"/>
      <x:c r="F33" s="609"/>
      <x:c r="G33" s="609"/>
      <x:c r="H33" s="609"/>
      <x:c r="I33" s="609"/>
      <x:c r="J33" s="609"/>
      <x:c r="K33" s="609"/>
      <x:c r="L33" s="609"/>
      <x:c r="M33" s="609"/>
      <x:c r="N33" s="609"/>
    </x:row>
    <x:row r="34" ht="20" customHeight="1">
      <x:c r="A34" s="609"/>
      <x:c r="B34" s="609"/>
      <x:c r="C34" s="609"/>
      <x:c r="D34" s="609"/>
      <x:c r="E34" s="609"/>
      <x:c r="F34" s="609"/>
      <x:c r="G34" s="609"/>
      <x:c r="H34" s="609"/>
      <x:c r="I34" s="609"/>
      <x:c r="J34" s="609"/>
      <x:c r="K34" s="609"/>
      <x:c r="L34" s="609"/>
      <x:c r="M34" s="609"/>
      <x:c r="N34" s="609"/>
    </x:row>
    <x:row r="35" ht="20" customHeight="1">
      <x:c r="A35" s="609"/>
      <x:c r="B35" s="609"/>
      <x:c r="C35" s="609"/>
      <x:c r="D35" s="609"/>
      <x:c r="E35" s="609"/>
      <x:c r="F35" s="609"/>
      <x:c r="G35" s="609"/>
      <x:c r="H35" s="609"/>
      <x:c r="I35" s="609"/>
      <x:c r="J35" s="609"/>
      <x:c r="K35" s="609"/>
      <x:c r="L35" s="609"/>
      <x:c r="M35" s="609"/>
      <x:c r="N35" s="609"/>
    </x:row>
    <x:row r="36" ht="20" customHeight="1">
      <x:c r="A36" s="609"/>
      <x:c r="B36" s="609"/>
      <x:c r="C36" s="609"/>
      <x:c r="D36" s="609"/>
      <x:c r="E36" s="609"/>
      <x:c r="F36" s="609"/>
      <x:c r="G36" s="609"/>
      <x:c r="H36" s="609"/>
      <x:c r="I36" s="609"/>
      <x:c r="J36" s="609"/>
      <x:c r="K36" s="609"/>
      <x:c r="L36" s="609"/>
      <x:c r="M36" s="609"/>
      <x:c r="N36" s="609"/>
    </x:row>
    <x:row r="37" ht="20" customHeight="1">
      <x:c r="A37" s="609"/>
      <x:c r="B37" s="609"/>
      <x:c r="C37" s="609"/>
      <x:c r="D37" s="609"/>
      <x:c r="E37" s="609"/>
      <x:c r="F37" s="609"/>
      <x:c r="G37" s="609"/>
      <x:c r="H37" s="609"/>
      <x:c r="I37" s="609"/>
      <x:c r="J37" s="609"/>
      <x:c r="K37" s="609"/>
      <x:c r="L37" s="609"/>
      <x:c r="M37" s="609"/>
      <x:c r="N37" s="609"/>
    </x:row>
    <x:row r="38" ht="20" customHeight="1">
      <x:c r="A38" s="609"/>
      <x:c r="B38" s="609"/>
      <x:c r="C38" s="609"/>
      <x:c r="D38" s="609"/>
      <x:c r="E38" s="609"/>
      <x:c r="F38" s="609"/>
      <x:c r="G38" s="609"/>
      <x:c r="H38" s="609"/>
      <x:c r="I38" s="609"/>
      <x:c r="J38" s="609"/>
      <x:c r="K38" s="609"/>
      <x:c r="L38" s="609"/>
      <x:c r="M38" s="609"/>
      <x:c r="N38" s="609"/>
    </x:row>
    <x:row r="39" ht="20" customHeight="1">
      <x:c r="A39" s="609"/>
      <x:c r="B39" s="609"/>
      <x:c r="C39" s="609"/>
      <x:c r="D39" s="609"/>
      <x:c r="E39" s="609"/>
      <x:c r="F39" s="609"/>
      <x:c r="G39" s="609"/>
      <x:c r="H39" s="609"/>
      <x:c r="I39" s="609"/>
      <x:c r="J39" s="609"/>
      <x:c r="K39" s="609"/>
      <x:c r="L39" s="609"/>
      <x:c r="M39" s="609"/>
      <x:c r="N39" s="609"/>
    </x:row>
    <x:row r="40" ht="20" customHeight="1">
      <x:c r="A40" s="609"/>
      <x:c r="B40" s="609"/>
      <x:c r="C40" s="609"/>
      <x:c r="D40" s="609"/>
      <x:c r="E40" s="609"/>
      <x:c r="F40" s="609"/>
      <x:c r="G40" s="609"/>
      <x:c r="H40" s="609"/>
      <x:c r="I40" s="609"/>
      <x:c r="J40" s="609"/>
      <x:c r="K40" s="609"/>
      <x:c r="L40" s="609"/>
      <x:c r="M40" s="609"/>
      <x:c r="N40" s="609"/>
    </x:row>
    <x:row r="41" ht="20" customHeight="1">
      <x:c r="A41" s="609"/>
      <x:c r="B41" s="609"/>
      <x:c r="C41" s="609"/>
      <x:c r="D41" s="609"/>
      <x:c r="E41" s="609"/>
      <x:c r="F41" s="609"/>
      <x:c r="G41" s="609"/>
      <x:c r="H41" s="609"/>
      <x:c r="I41" s="609"/>
      <x:c r="J41" s="609"/>
      <x:c r="K41" s="609"/>
      <x:c r="L41" s="609"/>
      <x:c r="M41" s="609"/>
      <x:c r="N41" s="609"/>
    </x:row>
    <x:row r="42" ht="20" customHeight="1">
      <x:c r="A42" s="609"/>
      <x:c r="B42" s="609"/>
      <x:c r="C42" s="609"/>
      <x:c r="D42" s="609"/>
      <x:c r="E42" s="609"/>
      <x:c r="F42" s="609"/>
      <x:c r="G42" s="609"/>
      <x:c r="H42" s="609"/>
      <x:c r="I42" s="609"/>
      <x:c r="J42" s="609"/>
      <x:c r="K42" s="609"/>
      <x:c r="L42" s="609"/>
      <x:c r="M42" s="609"/>
      <x:c r="N42" s="609"/>
    </x:row>
    <x:row r="43" ht="20" customHeight="1">
      <x:c r="A43" s="609"/>
      <x:c r="B43" s="609"/>
      <x:c r="C43" s="609"/>
      <x:c r="D43" s="609"/>
      <x:c r="E43" s="609"/>
      <x:c r="F43" s="609"/>
      <x:c r="G43" s="609"/>
      <x:c r="H43" s="609"/>
      <x:c r="I43" s="609"/>
      <x:c r="J43" s="609"/>
      <x:c r="K43" s="609"/>
      <x:c r="L43" s="609"/>
      <x:c r="M43" s="609"/>
      <x:c r="N43" s="609"/>
    </x:row>
    <x:row r="44" ht="20" customHeight="1">
      <x:c r="A44" s="609"/>
      <x:c r="B44" s="609"/>
      <x:c r="C44" s="609"/>
      <x:c r="D44" s="609"/>
      <x:c r="E44" s="609"/>
      <x:c r="F44" s="609"/>
      <x:c r="G44" s="609"/>
      <x:c r="H44" s="609"/>
      <x:c r="I44" s="609"/>
      <x:c r="J44" s="609"/>
      <x:c r="K44" s="609"/>
      <x:c r="L44" s="609"/>
      <x:c r="M44" s="609"/>
      <x:c r="N44" s="609"/>
    </x:row>
    <x:row r="45" ht="20" customHeight="1">
      <x:c r="A45" s="609"/>
      <x:c r="B45" s="609"/>
      <x:c r="C45" s="609"/>
      <x:c r="D45" s="609"/>
      <x:c r="E45" s="609"/>
      <x:c r="F45" s="609"/>
      <x:c r="G45" s="609"/>
      <x:c r="H45" s="609"/>
      <x:c r="I45" s="609"/>
      <x:c r="J45" s="609"/>
      <x:c r="K45" s="609"/>
      <x:c r="L45" s="609"/>
      <x:c r="M45" s="609"/>
      <x:c r="N45" s="609"/>
    </x:row>
    <x:row r="46" ht="20" customHeight="1">
      <x:c r="A46" s="609"/>
      <x:c r="B46" s="609"/>
      <x:c r="C46" s="609"/>
      <x:c r="D46" s="609"/>
      <x:c r="E46" s="609"/>
      <x:c r="F46" s="609"/>
      <x:c r="G46" s="609"/>
      <x:c r="H46" s="609"/>
      <x:c r="I46" s="609"/>
      <x:c r="J46" s="609"/>
      <x:c r="K46" s="609"/>
      <x:c r="L46" s="609"/>
      <x:c r="M46" s="609"/>
      <x:c r="N46" s="609"/>
    </x:row>
    <x:row r="47" ht="20" customHeight="1">
      <x:c r="A47" s="609"/>
      <x:c r="B47" s="609"/>
      <x:c r="C47" s="609"/>
      <x:c r="D47" s="609"/>
      <x:c r="E47" s="609"/>
      <x:c r="F47" s="609"/>
      <x:c r="G47" s="609"/>
      <x:c r="H47" s="609"/>
      <x:c r="I47" s="609"/>
      <x:c r="J47" s="609"/>
      <x:c r="K47" s="609"/>
      <x:c r="L47" s="609"/>
      <x:c r="M47" s="609"/>
      <x:c r="N47" s="609"/>
    </x:row>
    <x:row r="48" ht="20" customHeight="1">
      <x:c r="A48" s="609"/>
      <x:c r="B48" s="609"/>
      <x:c r="C48" s="609"/>
      <x:c r="D48" s="609"/>
      <x:c r="E48" s="609"/>
      <x:c r="F48" s="609"/>
      <x:c r="G48" s="609"/>
      <x:c r="H48" s="609"/>
      <x:c r="I48" s="609"/>
      <x:c r="J48" s="609"/>
      <x:c r="K48" s="609"/>
      <x:c r="L48" s="609"/>
      <x:c r="M48" s="609"/>
      <x:c r="N48" s="609"/>
    </x:row>
    <x:row r="49" ht="20" customHeight="1">
      <x:c r="A49" s="609"/>
      <x:c r="B49" s="609"/>
      <x:c r="C49" s="609"/>
      <x:c r="D49" s="609"/>
      <x:c r="E49" s="609"/>
      <x:c r="F49" s="609"/>
      <x:c r="G49" s="609"/>
      <x:c r="H49" s="609"/>
      <x:c r="I49" s="609"/>
      <x:c r="J49" s="609"/>
      <x:c r="K49" s="609"/>
      <x:c r="L49" s="609"/>
      <x:c r="M49" s="609"/>
      <x:c r="N49" s="609"/>
    </x:row>
    <x:row r="50" ht="20" customHeight="1">
      <x:c r="A50" s="609"/>
      <x:c r="B50" s="609"/>
      <x:c r="C50" s="609"/>
      <x:c r="D50" s="609"/>
      <x:c r="E50" s="609"/>
      <x:c r="F50" s="609"/>
      <x:c r="G50" s="609"/>
      <x:c r="H50" s="609"/>
      <x:c r="I50" s="609"/>
      <x:c r="J50" s="609"/>
      <x:c r="K50" s="609"/>
      <x:c r="L50" s="609"/>
      <x:c r="M50" s="609"/>
      <x:c r="N50" s="609"/>
    </x:row>
    <x:row r="51" ht="20" customHeight="1">
      <x:c r="A51" s="609"/>
      <x:c r="B51" s="609"/>
      <x:c r="C51" s="609"/>
      <x:c r="D51" s="609"/>
      <x:c r="E51" s="609"/>
      <x:c r="F51" s="609"/>
      <x:c r="G51" s="609"/>
      <x:c r="H51" s="609"/>
      <x:c r="I51" s="609"/>
      <x:c r="J51" s="609"/>
      <x:c r="K51" s="609"/>
      <x:c r="L51" s="609"/>
      <x:c r="M51" s="609"/>
      <x:c r="N51" s="609"/>
    </x:row>
    <x:row r="52" ht="20" customHeight="1">
      <x:c r="A52" s="609"/>
      <x:c r="B52" s="609"/>
      <x:c r="C52" s="609"/>
      <x:c r="D52" s="609"/>
      <x:c r="E52" s="609"/>
      <x:c r="F52" s="609"/>
      <x:c r="G52" s="609"/>
      <x:c r="H52" s="609"/>
      <x:c r="I52" s="609"/>
      <x:c r="J52" s="609"/>
      <x:c r="K52" s="609"/>
      <x:c r="L52" s="609"/>
      <x:c r="M52" s="609"/>
      <x:c r="N52" s="609"/>
    </x:row>
    <x:row r="53" ht="20" customHeight="1">
      <x:c r="A53" s="609"/>
      <x:c r="B53" s="609"/>
      <x:c r="C53" s="609"/>
      <x:c r="D53" s="609"/>
      <x:c r="E53" s="609"/>
      <x:c r="F53" s="609"/>
      <x:c r="G53" s="609"/>
      <x:c r="H53" s="609"/>
      <x:c r="I53" s="609"/>
      <x:c r="J53" s="609"/>
      <x:c r="K53" s="609"/>
      <x:c r="L53" s="609"/>
      <x:c r="M53" s="609"/>
      <x:c r="N53" s="609"/>
    </x:row>
    <x:row r="54" ht="20" customHeight="1">
      <x:c r="A54" s="609"/>
      <x:c r="B54" s="609"/>
      <x:c r="C54" s="609"/>
      <x:c r="D54" s="609"/>
      <x:c r="E54" s="609"/>
      <x:c r="F54" s="609"/>
      <x:c r="G54" s="609"/>
      <x:c r="H54" s="609"/>
      <x:c r="I54" s="609"/>
      <x:c r="J54" s="609"/>
      <x:c r="K54" s="609"/>
      <x:c r="L54" s="609"/>
      <x:c r="M54" s="609"/>
      <x:c r="N54" s="609"/>
    </x:row>
    <x:row r="55" ht="20" customHeight="1">
      <x:c r="A55" s="609"/>
      <x:c r="B55" s="609"/>
      <x:c r="C55" s="609"/>
      <x:c r="D55" s="609"/>
      <x:c r="E55" s="609"/>
      <x:c r="F55" s="609"/>
      <x:c r="G55" s="609"/>
      <x:c r="H55" s="609"/>
      <x:c r="I55" s="609"/>
      <x:c r="J55" s="609"/>
      <x:c r="K55" s="609"/>
      <x:c r="L55" s="609"/>
      <x:c r="M55" s="609"/>
      <x:c r="N55" s="609"/>
    </x:row>
    <x:row r="56" ht="20" customHeight="1">
      <x:c r="A56" s="609"/>
      <x:c r="B56" s="609"/>
      <x:c r="C56" s="609"/>
      <x:c r="D56" s="609"/>
      <x:c r="E56" s="609"/>
      <x:c r="F56" s="609"/>
      <x:c r="G56" s="609"/>
      <x:c r="H56" s="609"/>
      <x:c r="I56" s="609"/>
      <x:c r="J56" s="609"/>
      <x:c r="K56" s="609"/>
      <x:c r="L56" s="609"/>
      <x:c r="M56" s="609"/>
      <x:c r="N56" s="609"/>
    </x:row>
    <x:row r="57" ht="20" customHeight="1">
      <x:c r="A57" s="609"/>
      <x:c r="B57" s="609"/>
      <x:c r="C57" s="609"/>
      <x:c r="D57" s="609"/>
      <x:c r="E57" s="609"/>
      <x:c r="F57" s="609"/>
      <x:c r="G57" s="609"/>
      <x:c r="H57" s="609"/>
      <x:c r="I57" s="609"/>
      <x:c r="J57" s="609"/>
      <x:c r="K57" s="609"/>
      <x:c r="L57" s="609"/>
      <x:c r="M57" s="609"/>
      <x:c r="N57" s="609"/>
    </x:row>
    <x:row r="58" ht="20" customHeight="1">
      <x:c r="A58" s="609"/>
      <x:c r="B58" s="609"/>
      <x:c r="C58" s="609"/>
      <x:c r="D58" s="609"/>
      <x:c r="E58" s="609"/>
      <x:c r="F58" s="609"/>
      <x:c r="G58" s="609"/>
      <x:c r="H58" s="609"/>
      <x:c r="I58" s="609"/>
      <x:c r="J58" s="609"/>
      <x:c r="K58" s="609"/>
      <x:c r="L58" s="609"/>
      <x:c r="M58" s="609"/>
      <x:c r="N58" s="609"/>
    </x:row>
    <x:row r="59" ht="20" customHeight="1">
      <x:c r="A59" s="609"/>
      <x:c r="B59" s="609"/>
      <x:c r="C59" s="609"/>
      <x:c r="D59" s="609"/>
      <x:c r="E59" s="609"/>
      <x:c r="F59" s="609"/>
      <x:c r="G59" s="609"/>
      <x:c r="H59" s="609"/>
      <x:c r="I59" s="609"/>
      <x:c r="J59" s="609"/>
      <x:c r="K59" s="609"/>
      <x:c r="L59" s="609"/>
      <x:c r="M59" s="609"/>
      <x:c r="N59" s="609"/>
    </x:row>
    <x:row r="60" ht="20" customHeight="1">
      <x:c r="A60" s="609"/>
      <x:c r="B60" s="609"/>
      <x:c r="C60" s="609"/>
      <x:c r="D60" s="609"/>
      <x:c r="E60" s="609"/>
      <x:c r="F60" s="609"/>
      <x:c r="G60" s="609"/>
      <x:c r="H60" s="609"/>
      <x:c r="I60" s="609"/>
      <x:c r="J60" s="609"/>
      <x:c r="K60" s="609"/>
      <x:c r="L60" s="609"/>
      <x:c r="M60" s="609"/>
      <x:c r="N60" s="609"/>
    </x:row>
  </x:sheetData>
  <x:mergeCells>
    <x:mergeCell ref="A1:N2"/>
    <x:mergeCell ref="A3:N3"/>
    <x:mergeCell ref="A6:C8"/>
    <x:mergeCell ref="A5:C5"/>
    <x:mergeCell ref="E6:G8"/>
    <x:mergeCell ref="E5:G5"/>
    <x:mergeCell ref="I6:K8"/>
    <x:mergeCell ref="I5:K5"/>
    <x:mergeCell ref="M6:N8"/>
    <x:mergeCell ref="M5:N5"/>
    <x:mergeCell ref="A11:N1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2" hidden="0" customWidth="1"/>
    <x:col min="5" max="5" width="42" hidden="0" customWidth="1"/>
    <x:col min="6" max="6" width="32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8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513" t="str">
        <x:v>User Issues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  <x:c r="N1" s="513"/>
    </x:row>
    <x:row r="2" ht="20" customHeight="1">
      <x:c r="A2" s="513"/>
      <x:c r="B2" s="513"/>
      <x:c r="C2" s="513"/>
      <x:c r="D2" s="513"/>
      <x:c r="E2" s="513"/>
      <x:c r="F2" s="513"/>
      <x:c r="G2" s="513"/>
      <x:c r="H2" s="513"/>
      <x:c r="I2" s="513"/>
      <x:c r="J2" s="513"/>
      <x:c r="K2" s="513"/>
      <x:c r="L2" s="513"/>
      <x:c r="M2" s="513"/>
      <x:c r="N2" s="513"/>
    </x:row>
    <x:row r="3" ht="20" customHeight="1">
      <x:c r="A3" s="514" t="str">
        <x:v>Issues reported by customers or CS during actual YVF usage</x:v>
      </x:c>
      <x:c r="B3" s="514"/>
      <x:c r="C3" s="514"/>
      <x:c r="D3" s="514"/>
      <x:c r="E3" s="514"/>
      <x:c r="F3" s="514"/>
      <x:c r="G3" s="514"/>
      <x:c r="H3" s="514"/>
      <x:c r="I3" s="514"/>
      <x:c r="J3" s="514"/>
      <x:c r="K3" s="514"/>
      <x:c r="L3" s="514"/>
      <x:c r="M3" s="514"/>
      <x:c r="N3" s="514"/>
    </x:row>
    <x:row r="4" ht="20" customHeight="1">
      <x:c r="A4" s="609"/>
      <x:c r="B4" s="609"/>
      <x:c r="C4" s="609"/>
      <x:c r="D4" s="609"/>
      <x:c r="E4" s="609"/>
      <x:c r="F4" s="609"/>
      <x:c r="G4" s="609"/>
      <x:c r="H4" s="609"/>
      <x:c r="I4" s="609"/>
      <x:c r="J4" s="609"/>
      <x:c r="K4" s="609"/>
      <x:c r="L4" s="609"/>
      <x:c r="M4" s="609"/>
      <x:c r="N4" s="609"/>
    </x:row>
    <x:row r="5" ht="20" customHeight="1">
      <x:c r="A5" s="563" t="str">
        <x:v>ISSUE REPORTS</x:v>
      </x:c>
      <x:c r="B5" s="564"/>
      <x:c r="C5" s="565"/>
      <x:c r="D5" s="609"/>
      <x:c r="E5" s="522" t="str">
        <x:v>AFFECTED CUSTOMERS</x:v>
      </x:c>
      <x:c r="F5" s="523"/>
      <x:c r="G5" s="524"/>
      <x:c r="H5" s="609"/>
      <x:c r="I5" s="525" t="str">
        <x:v>AVG. TIME ON ISSUE ROWS</x:v>
      </x:c>
      <x:c r="J5" s="675"/>
      <x:c r="K5" s="526"/>
      <x:c r="L5" s="609"/>
      <x:c r="M5" s="566" t="str">
        <x:v>NEGATIVE FEEDBACK</x:v>
      </x:c>
      <x:c r="N5" s="567"/>
    </x:row>
    <x:row r="6" ht="20" customHeight="1">
      <x:c r="A6" s="572" t="n">
        <x:f>COUNTIF(Data_Booking!$G$2:$G$1000,"Yes")</x:f>
        <x:v>5</x:v>
      </x:c>
      <x:c r="B6" s="573"/>
      <x:c r="C6" s="574"/>
      <x:c r="D6" s="609"/>
      <x:c r="E6" s="533" t="n">
        <x:f>COUNTIF(Data_CustomerActive!$F$2:$F$100,"&gt;0")</x:f>
        <x:v>2</x:v>
      </x:c>
      <x:c r="F6" s="534"/>
      <x:c r="G6" s="535"/>
      <x:c r="H6" s="609"/>
      <x:c r="I6" s="660" t="n">
        <x:f>IFERROR(AVERAGEIF(Data_Booking!$G$2:$G$1000,"Yes",Data_Booking!$E$2:$E$1000),0)</x:f>
        <x:v>5.3</x:v>
      </x:c>
      <x:c r="J6" s="676"/>
      <x:c r="K6" s="537"/>
      <x:c r="L6" s="609"/>
      <x:c r="M6" s="575" t="n">
        <x:f>COUNTIF(Customer_Feedback!$D$2:$D$100,"Negative")</x:f>
        <x:v>1</x:v>
      </x:c>
      <x:c r="N6" s="576"/>
    </x:row>
    <x:row r="7" ht="20" customHeight="1">
      <x:c r="A7" s="580"/>
      <x:c r="B7" s="581"/>
      <x:c r="C7" s="582"/>
      <x:c r="D7" s="609"/>
      <x:c r="E7" s="544"/>
      <x:c r="F7" s="545"/>
      <x:c r="G7" s="546"/>
      <x:c r="H7" s="609"/>
      <x:c r="I7" s="547"/>
      <x:c r="J7" s="677"/>
      <x:c r="K7" s="548"/>
      <x:c r="L7" s="609"/>
      <x:c r="M7" s="583"/>
      <x:c r="N7" s="584"/>
    </x:row>
    <x:row r="8" ht="20" customHeight="1">
      <x:c r="A8" s="588"/>
      <x:c r="B8" s="589"/>
      <x:c r="C8" s="590"/>
      <x:c r="D8" s="609"/>
      <x:c r="E8" s="555"/>
      <x:c r="F8" s="556"/>
      <x:c r="G8" s="557"/>
      <x:c r="H8" s="609"/>
      <x:c r="I8" s="558"/>
      <x:c r="J8" s="678"/>
      <x:c r="K8" s="559"/>
      <x:c r="L8" s="609"/>
      <x:c r="M8" s="591"/>
      <x:c r="N8" s="592"/>
    </x:row>
    <x:row r="9" ht="20" customHeight="1">
      <x:c r="A9" s="609"/>
      <x:c r="B9" s="609"/>
      <x:c r="C9" s="609"/>
      <x:c r="D9" s="609"/>
      <x:c r="E9" s="609"/>
      <x:c r="F9" s="609"/>
      <x:c r="G9" s="609"/>
      <x:c r="H9" s="609"/>
      <x:c r="I9" s="609"/>
      <x:c r="J9" s="609"/>
      <x:c r="K9" s="609"/>
      <x:c r="L9" s="609"/>
      <x:c r="M9" s="609"/>
      <x:c r="N9" s="609"/>
    </x:row>
    <x:row r="10" ht="20" customHeight="1">
      <x:c r="A10" s="609"/>
      <x:c r="B10" s="609"/>
      <x:c r="C10" s="609"/>
      <x:c r="D10" s="609"/>
      <x:c r="E10" s="609"/>
      <x:c r="F10" s="609"/>
      <x:c r="G10" s="609"/>
      <x:c r="H10" s="609"/>
      <x:c r="I10" s="609"/>
      <x:c r="J10" s="609"/>
      <x:c r="K10" s="609"/>
      <x:c r="L10" s="609"/>
      <x:c r="M10" s="609"/>
      <x:c r="N10" s="609"/>
    </x:row>
    <x:row r="11" ht="20" customHeight="1">
      <x:c r="A11" s="643" t="str">
        <x:v>ISSUE LOG FROM BOOKING / CUSTOMER FEEDBACK</x:v>
      </x:c>
      <x:c r="B11" s="643"/>
      <x:c r="C11" s="643"/>
      <x:c r="D11" s="643"/>
      <x:c r="E11" s="643"/>
      <x:c r="F11" s="643"/>
      <x:c r="G11" s="643"/>
      <x:c r="H11" s="643"/>
      <x:c r="I11" s="643"/>
      <x:c r="J11" s="643"/>
      <x:c r="K11" s="643"/>
      <x:c r="L11" s="643"/>
      <x:c r="M11" s="643"/>
      <x:c r="N11" s="643"/>
    </x:row>
    <x:row r="12" ht="20" customHeight="1">
      <x:c r="A12" s="686" t="str">
        <x:v>Date</x:v>
      </x:c>
      <x:c r="B12" s="687" t="str">
        <x:v>Customer</x:v>
      </x:c>
      <x:c r="C12" s="687" t="str">
        <x:v>Reported By</x:v>
      </x:c>
      <x:c r="D12" s="687" t="str">
        <x:v>Issue Category</x:v>
      </x:c>
      <x:c r="E12" s="687" t="str">
        <x:v>Issue Description</x:v>
      </x:c>
      <x:c r="F12" s="687" t="str">
        <x:v>Impact</x:v>
      </x:c>
      <x:c r="G12" s="688" t="str">
        <x:v>Status</x:v>
      </x:c>
      <x:c r="H12" s="609"/>
      <x:c r="I12" s="609"/>
      <x:c r="J12" s="609"/>
      <x:c r="K12" s="609"/>
      <x:c r="L12" s="609"/>
      <x:c r="M12" s="609"/>
      <x:c r="N12" s="609"/>
    </x:row>
    <x:row r="13" ht="20" customHeight="1">
      <x:c r="A13" s="689" t="n">
        <x:v>46226</x:v>
      </x:c>
      <x:c r="B13" s="690" t="str">
        <x:v>SDVN</x:v>
      </x:c>
      <x:c r="C13" s="690" t="str">
        <x:v>CS</x:v>
      </x:c>
      <x:c r="D13" s="690" t="str">
        <x:v>System Performance</x:v>
      </x:c>
      <x:c r="E13" s="690" t="str">
        <x:v>Hệ thống phản hồi chậm</x:v>
      </x:c>
      <x:c r="F13" s="690" t="str">
        <x:v>Booking processing delayed</x:v>
      </x:c>
      <x:c r="G13" s="672" t="str">
        <x:v>Open</x:v>
      </x:c>
      <x:c r="H13" s="609"/>
      <x:c r="I13" s="609"/>
      <x:c r="J13" s="609"/>
      <x:c r="K13" s="609"/>
      <x:c r="L13" s="609"/>
      <x:c r="M13" s="609"/>
      <x:c r="N13" s="609"/>
    </x:row>
    <x:row r="14" ht="20" customHeight="1">
      <x:c r="A14" s="689" t="n">
        <x:v>46226</x:v>
      </x:c>
      <x:c r="B14" s="690" t="str">
        <x:v>NGSDVN</x:v>
      </x:c>
      <x:c r="C14" s="690" t="str">
        <x:v>CS</x:v>
      </x:c>
      <x:c r="D14" s="690" t="str">
        <x:v>System Performance</x:v>
      </x:c>
      <x:c r="E14" s="690" t="str">
        <x:v>Hệ thống phản hồi chậm</x:v>
      </x:c>
      <x:c r="F14" s="690" t="str">
        <x:v>Booking processing delayed</x:v>
      </x:c>
      <x:c r="G14" s="672" t="str">
        <x:v>Open</x:v>
      </x:c>
      <x:c r="H14" s="609"/>
      <x:c r="I14" s="609"/>
      <x:c r="J14" s="609"/>
      <x:c r="K14" s="609"/>
      <x:c r="L14" s="609"/>
      <x:c r="M14" s="609"/>
      <x:c r="N14" s="609"/>
    </x:row>
    <x:row r="15" ht="20" customHeight="1">
      <x:c r="A15" s="689" t="n">
        <x:v>46227</x:v>
      </x:c>
      <x:c r="B15" s="690" t="str">
        <x:v>SDVN</x:v>
      </x:c>
      <x:c r="C15" s="690" t="str">
        <x:v>CS</x:v>
      </x:c>
      <x:c r="D15" s="690" t="str">
        <x:v>System Performance</x:v>
      </x:c>
      <x:c r="E15" s="690" t="str">
        <x:v>Hệ thống phản hồi chậm</x:v>
      </x:c>
      <x:c r="F15" s="690" t="str">
        <x:v>Booking processing delayed</x:v>
      </x:c>
      <x:c r="G15" s="672" t="str">
        <x:v>Open</x:v>
      </x:c>
      <x:c r="H15" s="609"/>
      <x:c r="I15" s="609"/>
      <x:c r="J15" s="609"/>
      <x:c r="K15" s="609"/>
      <x:c r="L15" s="609"/>
      <x:c r="M15" s="609"/>
      <x:c r="N15" s="609"/>
    </x:row>
    <x:row r="16" ht="20" customHeight="1">
      <x:c r="A16" s="689" t="n">
        <x:v>46227</x:v>
      </x:c>
      <x:c r="B16" s="690" t="str">
        <x:v>NGSDVN</x:v>
      </x:c>
      <x:c r="C16" s="690" t="str">
        <x:v>CS</x:v>
      </x:c>
      <x:c r="D16" s="690" t="str">
        <x:v>System Performance</x:v>
      </x:c>
      <x:c r="E16" s="690" t="str">
        <x:v>Hệ thống phản hồi chậm</x:v>
      </x:c>
      <x:c r="F16" s="690" t="str">
        <x:v>Booking processing delayed</x:v>
      </x:c>
      <x:c r="G16" s="672" t="str">
        <x:v>Open</x:v>
      </x:c>
      <x:c r="H16" s="609"/>
      <x:c r="I16" s="609"/>
      <x:c r="J16" s="609"/>
      <x:c r="K16" s="609"/>
      <x:c r="L16" s="609"/>
      <x:c r="M16" s="609"/>
      <x:c r="N16" s="609"/>
    </x:row>
    <x:row r="17" ht="20" customHeight="1">
      <x:c r="A17" s="689" t="n">
        <x:v>46230</x:v>
      </x:c>
      <x:c r="B17" s="690" t="str">
        <x:v>SDVN</x:v>
      </x:c>
      <x:c r="C17" s="690" t="str">
        <x:v>CS</x:v>
      </x:c>
      <x:c r="D17" s="690" t="str">
        <x:v>System Performance</x:v>
      </x:c>
      <x:c r="E17" s="690" t="str">
        <x:v>Hệ thống phản hồi chậm</x:v>
      </x:c>
      <x:c r="F17" s="690" t="str">
        <x:v>Booking processing delayed</x:v>
      </x:c>
      <x:c r="G17" s="672" t="str">
        <x:v>Open</x:v>
      </x:c>
      <x:c r="H17" s="609"/>
      <x:c r="I17" s="609"/>
      <x:c r="J17" s="609"/>
      <x:c r="K17" s="609"/>
      <x:c r="L17" s="609"/>
      <x:c r="M17" s="609"/>
      <x:c r="N17" s="609"/>
    </x:row>
    <x:row r="18" ht="20" customHeight="1">
      <x:c r="A18" s="691"/>
      <x:c r="B18" s="692" t="str">
        <x:v>SDVN</x:v>
      </x:c>
      <x:c r="C18" s="692" t="str">
        <x:v>Customer</x:v>
      </x:c>
      <x:c r="D18" s="692" t="str">
        <x:v>Usability / Performance</x:v>
      </x:c>
      <x:c r="E18" s="692" t="str">
        <x:v>Hiệu năng hệ thống giảm rõ rệt từ ngày 22/7</x:v>
      </x:c>
      <x:c r="F18" s="692" t="str">
        <x:v>Longer processing time and freezing</x:v>
      </x:c>
      <x:c r="G18" s="674" t="str">
        <x:v>Open</x:v>
      </x:c>
      <x:c r="H18" s="609"/>
      <x:c r="I18" s="609"/>
      <x:c r="J18" s="609"/>
      <x:c r="K18" s="609"/>
      <x:c r="L18" s="609"/>
      <x:c r="M18" s="609"/>
      <x:c r="N18" s="609"/>
    </x:row>
    <x:row r="19" ht="20" customHeight="1">
      <x:c r="A19" s="609"/>
      <x:c r="B19" s="609"/>
      <x:c r="C19" s="609"/>
      <x:c r="D19" s="609"/>
      <x:c r="E19" s="609"/>
      <x:c r="F19" s="609"/>
      <x:c r="G19" s="609"/>
      <x:c r="H19" s="609"/>
      <x:c r="I19" s="609"/>
      <x:c r="J19" s="609"/>
      <x:c r="K19" s="609"/>
      <x:c r="L19" s="609"/>
      <x:c r="M19" s="609"/>
      <x:c r="N19" s="609"/>
    </x:row>
    <x:row r="20" ht="20" customHeight="1">
      <x:c r="A20" s="609"/>
      <x:c r="B20" s="609"/>
      <x:c r="C20" s="609"/>
      <x:c r="D20" s="609"/>
      <x:c r="E20" s="609"/>
      <x:c r="F20" s="609"/>
      <x:c r="G20" s="609"/>
      <x:c r="H20" s="609"/>
      <x:c r="I20" s="609"/>
      <x:c r="J20" s="609"/>
      <x:c r="K20" s="609"/>
      <x:c r="L20" s="609"/>
      <x:c r="M20" s="609"/>
      <x:c r="N20" s="609"/>
    </x:row>
    <x:row r="21" ht="20" customHeight="1">
      <x:c r="A21" s="609"/>
      <x:c r="B21" s="609"/>
      <x:c r="C21" s="609"/>
      <x:c r="D21" s="609"/>
      <x:c r="E21" s="609"/>
      <x:c r="F21" s="609"/>
      <x:c r="G21" s="609"/>
      <x:c r="H21" s="609"/>
      <x:c r="I21" s="609"/>
      <x:c r="J21" s="609"/>
      <x:c r="K21" s="609"/>
      <x:c r="L21" s="609"/>
      <x:c r="M21" s="609"/>
      <x:c r="N21" s="609"/>
    </x:row>
    <x:row r="22" ht="20" customHeight="1">
      <x:c r="A22" s="609"/>
      <x:c r="B22" s="609"/>
      <x:c r="C22" s="609"/>
      <x:c r="D22" s="609"/>
      <x:c r="E22" s="609"/>
      <x:c r="F22" s="609"/>
      <x:c r="G22" s="609"/>
      <x:c r="H22" s="609"/>
      <x:c r="I22" s="609"/>
      <x:c r="J22" s="609"/>
      <x:c r="K22" s="609"/>
      <x:c r="L22" s="609"/>
      <x:c r="M22" s="609"/>
      <x:c r="N22" s="609"/>
    </x:row>
    <x:row r="23" ht="20" customHeight="1">
      <x:c r="A23" s="609"/>
      <x:c r="B23" s="609"/>
      <x:c r="C23" s="609"/>
      <x:c r="D23" s="609"/>
      <x:c r="E23" s="609"/>
      <x:c r="F23" s="609"/>
      <x:c r="G23" s="609"/>
      <x:c r="H23" s="609"/>
      <x:c r="I23" s="609"/>
      <x:c r="J23" s="609"/>
      <x:c r="K23" s="609"/>
      <x:c r="L23" s="609"/>
      <x:c r="M23" s="609"/>
      <x:c r="N23" s="609"/>
    </x:row>
    <x:row r="24" ht="20" customHeight="1">
      <x:c r="A24" s="609"/>
      <x:c r="B24" s="609"/>
      <x:c r="C24" s="609"/>
      <x:c r="D24" s="609"/>
      <x:c r="E24" s="609"/>
      <x:c r="F24" s="609"/>
      <x:c r="G24" s="609"/>
      <x:c r="H24" s="609"/>
      <x:c r="I24" s="609"/>
      <x:c r="J24" s="609"/>
      <x:c r="K24" s="609"/>
      <x:c r="L24" s="609"/>
      <x:c r="M24" s="609"/>
      <x:c r="N24" s="609"/>
    </x:row>
    <x:row r="25" ht="20" customHeight="1">
      <x:c r="A25" s="609"/>
      <x:c r="B25" s="609"/>
      <x:c r="C25" s="609"/>
      <x:c r="D25" s="609"/>
      <x:c r="E25" s="609"/>
      <x:c r="F25" s="609"/>
      <x:c r="G25" s="609"/>
      <x:c r="H25" s="609"/>
      <x:c r="I25" s="609"/>
      <x:c r="J25" s="609"/>
      <x:c r="K25" s="609"/>
      <x:c r="L25" s="609"/>
      <x:c r="M25" s="609"/>
      <x:c r="N25" s="609"/>
    </x:row>
    <x:row r="26" ht="20" customHeight="1">
      <x:c r="A26" s="609"/>
      <x:c r="B26" s="609"/>
      <x:c r="C26" s="609"/>
      <x:c r="D26" s="609"/>
      <x:c r="E26" s="609"/>
      <x:c r="F26" s="609"/>
      <x:c r="G26" s="609"/>
      <x:c r="H26" s="609"/>
      <x:c r="I26" s="609"/>
      <x:c r="J26" s="609"/>
      <x:c r="K26" s="609"/>
      <x:c r="L26" s="609"/>
      <x:c r="M26" s="609"/>
      <x:c r="N26" s="609"/>
    </x:row>
    <x:row r="27" ht="20" customHeight="1">
      <x:c r="A27" s="609"/>
      <x:c r="B27" s="609"/>
      <x:c r="C27" s="609"/>
      <x:c r="D27" s="609"/>
      <x:c r="E27" s="609"/>
      <x:c r="F27" s="609"/>
      <x:c r="G27" s="609"/>
      <x:c r="H27" s="609"/>
      <x:c r="I27" s="609"/>
      <x:c r="J27" s="609"/>
      <x:c r="K27" s="609"/>
      <x:c r="L27" s="609"/>
      <x:c r="M27" s="609"/>
      <x:c r="N27" s="609"/>
    </x:row>
    <x:row r="28" ht="20" customHeight="1">
      <x:c r="A28" s="609"/>
      <x:c r="B28" s="609"/>
      <x:c r="C28" s="609"/>
      <x:c r="D28" s="609"/>
      <x:c r="E28" s="609"/>
      <x:c r="F28" s="609"/>
      <x:c r="G28" s="609"/>
      <x:c r="H28" s="609"/>
      <x:c r="I28" s="609"/>
      <x:c r="J28" s="609"/>
      <x:c r="K28" s="609"/>
      <x:c r="L28" s="609"/>
      <x:c r="M28" s="609"/>
      <x:c r="N28" s="609"/>
    </x:row>
    <x:row r="29" ht="20" customHeight="1">
      <x:c r="A29" s="609"/>
      <x:c r="B29" s="609"/>
      <x:c r="C29" s="609"/>
      <x:c r="D29" s="609"/>
      <x:c r="E29" s="609"/>
      <x:c r="F29" s="609"/>
      <x:c r="G29" s="609"/>
      <x:c r="H29" s="609"/>
      <x:c r="I29" s="609"/>
      <x:c r="J29" s="609"/>
      <x:c r="K29" s="609"/>
      <x:c r="L29" s="609"/>
      <x:c r="M29" s="609"/>
      <x:c r="N29" s="609"/>
    </x:row>
    <x:row r="30" ht="20" customHeight="1">
      <x:c r="A30" s="609"/>
      <x:c r="B30" s="609"/>
      <x:c r="C30" s="609"/>
      <x:c r="D30" s="609"/>
      <x:c r="E30" s="609"/>
      <x:c r="F30" s="609"/>
      <x:c r="G30" s="609"/>
      <x:c r="H30" s="609"/>
      <x:c r="I30" s="609"/>
      <x:c r="J30" s="609"/>
      <x:c r="K30" s="609"/>
      <x:c r="L30" s="609"/>
      <x:c r="M30" s="609"/>
      <x:c r="N30" s="609"/>
    </x:row>
    <x:row r="31" ht="20" customHeight="1">
      <x:c r="A31" s="609"/>
      <x:c r="B31" s="609"/>
      <x:c r="C31" s="609"/>
      <x:c r="D31" s="609"/>
      <x:c r="E31" s="609"/>
      <x:c r="F31" s="609"/>
      <x:c r="G31" s="609"/>
      <x:c r="H31" s="609"/>
      <x:c r="I31" s="609"/>
      <x:c r="J31" s="609"/>
      <x:c r="K31" s="609"/>
      <x:c r="L31" s="609"/>
      <x:c r="M31" s="609"/>
      <x:c r="N31" s="609"/>
    </x:row>
    <x:row r="32" ht="20" customHeight="1">
      <x:c r="A32" s="609"/>
      <x:c r="B32" s="609"/>
      <x:c r="C32" s="609"/>
      <x:c r="D32" s="609"/>
      <x:c r="E32" s="609"/>
      <x:c r="F32" s="609"/>
      <x:c r="G32" s="609"/>
      <x:c r="H32" s="609"/>
      <x:c r="I32" s="609"/>
      <x:c r="J32" s="609"/>
      <x:c r="K32" s="609"/>
      <x:c r="L32" s="609"/>
      <x:c r="M32" s="609"/>
      <x:c r="N32" s="609"/>
    </x:row>
    <x:row r="33" ht="20" customHeight="1">
      <x:c r="A33" s="609"/>
      <x:c r="B33" s="609"/>
      <x:c r="C33" s="609"/>
      <x:c r="D33" s="609"/>
      <x:c r="E33" s="609"/>
      <x:c r="F33" s="609"/>
      <x:c r="G33" s="609"/>
      <x:c r="H33" s="609"/>
      <x:c r="I33" s="609"/>
      <x:c r="J33" s="609"/>
      <x:c r="K33" s="609"/>
      <x:c r="L33" s="609"/>
      <x:c r="M33" s="609"/>
      <x:c r="N33" s="609"/>
    </x:row>
    <x:row r="34" ht="20" customHeight="1">
      <x:c r="A34" s="609"/>
      <x:c r="B34" s="609"/>
      <x:c r="C34" s="609"/>
      <x:c r="D34" s="609"/>
      <x:c r="E34" s="609"/>
      <x:c r="F34" s="609"/>
      <x:c r="G34" s="609"/>
      <x:c r="H34" s="609"/>
      <x:c r="I34" s="609"/>
      <x:c r="J34" s="609"/>
      <x:c r="K34" s="609"/>
      <x:c r="L34" s="609"/>
      <x:c r="M34" s="609"/>
      <x:c r="N34" s="609"/>
    </x:row>
    <x:row r="35" ht="20" customHeight="1">
      <x:c r="A35" s="609"/>
      <x:c r="B35" s="609"/>
      <x:c r="C35" s="609"/>
      <x:c r="D35" s="609"/>
      <x:c r="E35" s="609"/>
      <x:c r="F35" s="609"/>
      <x:c r="G35" s="609"/>
      <x:c r="H35" s="609"/>
      <x:c r="I35" s="609"/>
      <x:c r="J35" s="609"/>
      <x:c r="K35" s="609"/>
      <x:c r="L35" s="609"/>
      <x:c r="M35" s="609"/>
      <x:c r="N35" s="609"/>
    </x:row>
    <x:row r="36" ht="20" customHeight="1">
      <x:c r="A36" s="609"/>
      <x:c r="B36" s="609"/>
      <x:c r="C36" s="609"/>
      <x:c r="D36" s="609"/>
      <x:c r="E36" s="609"/>
      <x:c r="F36" s="609"/>
      <x:c r="G36" s="609"/>
      <x:c r="H36" s="609"/>
      <x:c r="I36" s="609"/>
      <x:c r="J36" s="609"/>
      <x:c r="K36" s="609"/>
      <x:c r="L36" s="609"/>
      <x:c r="M36" s="609"/>
      <x:c r="N36" s="609"/>
    </x:row>
    <x:row r="37" ht="20" customHeight="1">
      <x:c r="A37" s="609"/>
      <x:c r="B37" s="609"/>
      <x:c r="C37" s="609"/>
      <x:c r="D37" s="609"/>
      <x:c r="E37" s="609"/>
      <x:c r="F37" s="609"/>
      <x:c r="G37" s="609"/>
      <x:c r="H37" s="609"/>
      <x:c r="I37" s="609"/>
      <x:c r="J37" s="609"/>
      <x:c r="K37" s="609"/>
      <x:c r="L37" s="609"/>
      <x:c r="M37" s="609"/>
      <x:c r="N37" s="609"/>
    </x:row>
    <x:row r="38" ht="20" customHeight="1">
      <x:c r="A38" s="609"/>
      <x:c r="B38" s="609"/>
      <x:c r="C38" s="609"/>
      <x:c r="D38" s="609"/>
      <x:c r="E38" s="609"/>
      <x:c r="F38" s="609"/>
      <x:c r="G38" s="609"/>
      <x:c r="H38" s="609"/>
      <x:c r="I38" s="609"/>
      <x:c r="J38" s="609"/>
      <x:c r="K38" s="609"/>
      <x:c r="L38" s="609"/>
      <x:c r="M38" s="609"/>
      <x:c r="N38" s="609"/>
    </x:row>
    <x:row r="39" ht="20" customHeight="1">
      <x:c r="A39" s="609"/>
      <x:c r="B39" s="609"/>
      <x:c r="C39" s="609"/>
      <x:c r="D39" s="609"/>
      <x:c r="E39" s="609"/>
      <x:c r="F39" s="609"/>
      <x:c r="G39" s="609"/>
      <x:c r="H39" s="609"/>
      <x:c r="I39" s="609"/>
      <x:c r="J39" s="609"/>
      <x:c r="K39" s="609"/>
      <x:c r="L39" s="609"/>
      <x:c r="M39" s="609"/>
      <x:c r="N39" s="609"/>
    </x:row>
    <x:row r="40" ht="20" customHeight="1">
      <x:c r="A40" s="609"/>
      <x:c r="B40" s="609"/>
      <x:c r="C40" s="609"/>
      <x:c r="D40" s="609"/>
      <x:c r="E40" s="609"/>
      <x:c r="F40" s="609"/>
      <x:c r="G40" s="609"/>
      <x:c r="H40" s="609"/>
      <x:c r="I40" s="609"/>
      <x:c r="J40" s="609"/>
      <x:c r="K40" s="609"/>
      <x:c r="L40" s="609"/>
      <x:c r="M40" s="609"/>
      <x:c r="N40" s="609"/>
    </x:row>
    <x:row r="41" ht="20" customHeight="1">
      <x:c r="A41" s="609"/>
      <x:c r="B41" s="609"/>
      <x:c r="C41" s="609"/>
      <x:c r="D41" s="609"/>
      <x:c r="E41" s="609"/>
      <x:c r="F41" s="609"/>
      <x:c r="G41" s="609"/>
      <x:c r="H41" s="609"/>
      <x:c r="I41" s="609"/>
      <x:c r="J41" s="609"/>
      <x:c r="K41" s="609"/>
      <x:c r="L41" s="609"/>
      <x:c r="M41" s="609"/>
      <x:c r="N41" s="609"/>
    </x:row>
    <x:row r="42" ht="20" customHeight="1">
      <x:c r="A42" s="609"/>
      <x:c r="B42" s="609"/>
      <x:c r="C42" s="609"/>
      <x:c r="D42" s="609"/>
      <x:c r="E42" s="609"/>
      <x:c r="F42" s="609"/>
      <x:c r="G42" s="609"/>
      <x:c r="H42" s="609"/>
      <x:c r="I42" s="609"/>
      <x:c r="J42" s="609"/>
      <x:c r="K42" s="609"/>
      <x:c r="L42" s="609"/>
      <x:c r="M42" s="609"/>
      <x:c r="N42" s="609"/>
    </x:row>
    <x:row r="43" ht="20" customHeight="1">
      <x:c r="A43" s="609"/>
      <x:c r="B43" s="609"/>
      <x:c r="C43" s="609"/>
      <x:c r="D43" s="609"/>
      <x:c r="E43" s="609"/>
      <x:c r="F43" s="609"/>
      <x:c r="G43" s="609"/>
      <x:c r="H43" s="609"/>
      <x:c r="I43" s="609"/>
      <x:c r="J43" s="609"/>
      <x:c r="K43" s="609"/>
      <x:c r="L43" s="609"/>
      <x:c r="M43" s="609"/>
      <x:c r="N43" s="609"/>
    </x:row>
    <x:row r="44" ht="20" customHeight="1">
      <x:c r="A44" s="609"/>
      <x:c r="B44" s="609"/>
      <x:c r="C44" s="609"/>
      <x:c r="D44" s="609"/>
      <x:c r="E44" s="609"/>
      <x:c r="F44" s="609"/>
      <x:c r="G44" s="609"/>
      <x:c r="H44" s="609"/>
      <x:c r="I44" s="609"/>
      <x:c r="J44" s="609"/>
      <x:c r="K44" s="609"/>
      <x:c r="L44" s="609"/>
      <x:c r="M44" s="609"/>
      <x:c r="N44" s="609"/>
    </x:row>
    <x:row r="45" ht="20" customHeight="1">
      <x:c r="A45" s="609"/>
      <x:c r="B45" s="609"/>
      <x:c r="C45" s="609"/>
      <x:c r="D45" s="609"/>
      <x:c r="E45" s="609"/>
      <x:c r="F45" s="609"/>
      <x:c r="G45" s="609"/>
      <x:c r="H45" s="609"/>
      <x:c r="I45" s="609"/>
      <x:c r="J45" s="609"/>
      <x:c r="K45" s="609"/>
      <x:c r="L45" s="609"/>
      <x:c r="M45" s="609"/>
      <x:c r="N45" s="609"/>
    </x:row>
    <x:row r="46" ht="20" customHeight="1">
      <x:c r="A46" s="609"/>
      <x:c r="B46" s="609"/>
      <x:c r="C46" s="609"/>
      <x:c r="D46" s="609"/>
      <x:c r="E46" s="609"/>
      <x:c r="F46" s="609"/>
      <x:c r="G46" s="609"/>
      <x:c r="H46" s="609"/>
      <x:c r="I46" s="609"/>
      <x:c r="J46" s="609"/>
      <x:c r="K46" s="609"/>
      <x:c r="L46" s="609"/>
      <x:c r="M46" s="609"/>
      <x:c r="N46" s="609"/>
    </x:row>
    <x:row r="47" ht="20" customHeight="1">
      <x:c r="A47" s="609"/>
      <x:c r="B47" s="609"/>
      <x:c r="C47" s="609"/>
      <x:c r="D47" s="609"/>
      <x:c r="E47" s="609"/>
      <x:c r="F47" s="609"/>
      <x:c r="G47" s="609"/>
      <x:c r="H47" s="609"/>
      <x:c r="I47" s="609"/>
      <x:c r="J47" s="609"/>
      <x:c r="K47" s="609"/>
      <x:c r="L47" s="609"/>
      <x:c r="M47" s="609"/>
      <x:c r="N47" s="609"/>
    </x:row>
    <x:row r="48" ht="20" customHeight="1">
      <x:c r="A48" s="609"/>
      <x:c r="B48" s="609"/>
      <x:c r="C48" s="609"/>
      <x:c r="D48" s="609"/>
      <x:c r="E48" s="609"/>
      <x:c r="F48" s="609"/>
      <x:c r="G48" s="609"/>
      <x:c r="H48" s="609"/>
      <x:c r="I48" s="609"/>
      <x:c r="J48" s="609"/>
      <x:c r="K48" s="609"/>
      <x:c r="L48" s="609"/>
      <x:c r="M48" s="609"/>
      <x:c r="N48" s="609"/>
    </x:row>
    <x:row r="49" ht="20" customHeight="1">
      <x:c r="A49" s="609"/>
      <x:c r="B49" s="609"/>
      <x:c r="C49" s="609"/>
      <x:c r="D49" s="609"/>
      <x:c r="E49" s="609"/>
      <x:c r="F49" s="609"/>
      <x:c r="G49" s="609"/>
      <x:c r="H49" s="609"/>
      <x:c r="I49" s="609"/>
      <x:c r="J49" s="609"/>
      <x:c r="K49" s="609"/>
      <x:c r="L49" s="609"/>
      <x:c r="M49" s="609"/>
      <x:c r="N49" s="609"/>
    </x:row>
    <x:row r="50" ht="20" customHeight="1">
      <x:c r="A50" s="609"/>
      <x:c r="B50" s="609"/>
      <x:c r="C50" s="609"/>
      <x:c r="D50" s="609"/>
      <x:c r="E50" s="609"/>
      <x:c r="F50" s="609"/>
      <x:c r="G50" s="609"/>
      <x:c r="H50" s="609"/>
      <x:c r="I50" s="609"/>
      <x:c r="J50" s="609"/>
      <x:c r="K50" s="609"/>
      <x:c r="L50" s="609"/>
      <x:c r="M50" s="609"/>
      <x:c r="N50" s="609"/>
    </x:row>
    <x:row r="51" ht="20" customHeight="1">
      <x:c r="A51" s="609"/>
      <x:c r="B51" s="609"/>
      <x:c r="C51" s="609"/>
      <x:c r="D51" s="609"/>
      <x:c r="E51" s="609"/>
      <x:c r="F51" s="609"/>
      <x:c r="G51" s="609"/>
      <x:c r="H51" s="609"/>
      <x:c r="I51" s="609"/>
      <x:c r="J51" s="609"/>
      <x:c r="K51" s="609"/>
      <x:c r="L51" s="609"/>
      <x:c r="M51" s="609"/>
      <x:c r="N51" s="609"/>
    </x:row>
    <x:row r="52" ht="20" customHeight="1">
      <x:c r="A52" s="609"/>
      <x:c r="B52" s="609"/>
      <x:c r="C52" s="609"/>
      <x:c r="D52" s="609"/>
      <x:c r="E52" s="609"/>
      <x:c r="F52" s="609"/>
      <x:c r="G52" s="609"/>
      <x:c r="H52" s="609"/>
      <x:c r="I52" s="609"/>
      <x:c r="J52" s="609"/>
      <x:c r="K52" s="609"/>
      <x:c r="L52" s="609"/>
      <x:c r="M52" s="609"/>
      <x:c r="N52" s="609"/>
    </x:row>
    <x:row r="53" ht="20" customHeight="1">
      <x:c r="A53" s="609"/>
      <x:c r="B53" s="609"/>
      <x:c r="C53" s="609"/>
      <x:c r="D53" s="609"/>
      <x:c r="E53" s="609"/>
      <x:c r="F53" s="609"/>
      <x:c r="G53" s="609"/>
      <x:c r="H53" s="609"/>
      <x:c r="I53" s="609"/>
      <x:c r="J53" s="609"/>
      <x:c r="K53" s="609"/>
      <x:c r="L53" s="609"/>
      <x:c r="M53" s="609"/>
      <x:c r="N53" s="609"/>
    </x:row>
    <x:row r="54" ht="20" customHeight="1">
      <x:c r="A54" s="609"/>
      <x:c r="B54" s="609"/>
      <x:c r="C54" s="609"/>
      <x:c r="D54" s="609"/>
      <x:c r="E54" s="609"/>
      <x:c r="F54" s="609"/>
      <x:c r="G54" s="609"/>
      <x:c r="H54" s="609"/>
      <x:c r="I54" s="609"/>
      <x:c r="J54" s="609"/>
      <x:c r="K54" s="609"/>
      <x:c r="L54" s="609"/>
      <x:c r="M54" s="609"/>
      <x:c r="N54" s="609"/>
    </x:row>
    <x:row r="55" ht="20" customHeight="1">
      <x:c r="A55" s="609"/>
      <x:c r="B55" s="609"/>
      <x:c r="C55" s="609"/>
      <x:c r="D55" s="609"/>
      <x:c r="E55" s="609"/>
      <x:c r="F55" s="609"/>
      <x:c r="G55" s="609"/>
      <x:c r="H55" s="609"/>
      <x:c r="I55" s="609"/>
      <x:c r="J55" s="609"/>
      <x:c r="K55" s="609"/>
      <x:c r="L55" s="609"/>
      <x:c r="M55" s="609"/>
      <x:c r="N55" s="609"/>
    </x:row>
    <x:row r="56" ht="20" customHeight="1">
      <x:c r="A56" s="609"/>
      <x:c r="B56" s="609"/>
      <x:c r="C56" s="609"/>
      <x:c r="D56" s="609"/>
      <x:c r="E56" s="609"/>
      <x:c r="F56" s="609"/>
      <x:c r="G56" s="609"/>
      <x:c r="H56" s="609"/>
      <x:c r="I56" s="609"/>
      <x:c r="J56" s="609"/>
      <x:c r="K56" s="609"/>
      <x:c r="L56" s="609"/>
      <x:c r="M56" s="609"/>
      <x:c r="N56" s="609"/>
    </x:row>
    <x:row r="57" ht="20" customHeight="1">
      <x:c r="A57" s="609"/>
      <x:c r="B57" s="609"/>
      <x:c r="C57" s="609"/>
      <x:c r="D57" s="609"/>
      <x:c r="E57" s="609"/>
      <x:c r="F57" s="609"/>
      <x:c r="G57" s="609"/>
      <x:c r="H57" s="609"/>
      <x:c r="I57" s="609"/>
      <x:c r="J57" s="609"/>
      <x:c r="K57" s="609"/>
      <x:c r="L57" s="609"/>
      <x:c r="M57" s="609"/>
      <x:c r="N57" s="609"/>
    </x:row>
    <x:row r="58" ht="20" customHeight="1">
      <x:c r="A58" s="609"/>
      <x:c r="B58" s="609"/>
      <x:c r="C58" s="609"/>
      <x:c r="D58" s="609"/>
      <x:c r="E58" s="609"/>
      <x:c r="F58" s="609"/>
      <x:c r="G58" s="609"/>
      <x:c r="H58" s="609"/>
      <x:c r="I58" s="609"/>
      <x:c r="J58" s="609"/>
      <x:c r="K58" s="609"/>
      <x:c r="L58" s="609"/>
      <x:c r="M58" s="609"/>
      <x:c r="N58" s="609"/>
    </x:row>
    <x:row r="59" ht="20" customHeight="1">
      <x:c r="A59" s="609"/>
      <x:c r="B59" s="609"/>
      <x:c r="C59" s="609"/>
      <x:c r="D59" s="609"/>
      <x:c r="E59" s="609"/>
      <x:c r="F59" s="609"/>
      <x:c r="G59" s="609"/>
      <x:c r="H59" s="609"/>
      <x:c r="I59" s="609"/>
      <x:c r="J59" s="609"/>
      <x:c r="K59" s="609"/>
      <x:c r="L59" s="609"/>
      <x:c r="M59" s="609"/>
      <x:c r="N59" s="609"/>
    </x:row>
    <x:row r="60" ht="20" customHeight="1">
      <x:c r="A60" s="609"/>
      <x:c r="B60" s="609"/>
      <x:c r="C60" s="609"/>
      <x:c r="D60" s="609"/>
      <x:c r="E60" s="609"/>
      <x:c r="F60" s="609"/>
      <x:c r="G60" s="609"/>
      <x:c r="H60" s="609"/>
      <x:c r="I60" s="609"/>
      <x:c r="J60" s="609"/>
      <x:c r="K60" s="609"/>
      <x:c r="L60" s="609"/>
      <x:c r="M60" s="609"/>
      <x:c r="N60" s="609"/>
    </x:row>
  </x:sheetData>
  <x:mergeCells>
    <x:mergeCell ref="A1:N2"/>
    <x:mergeCell ref="A3:N3"/>
    <x:mergeCell ref="A6:C8"/>
    <x:mergeCell ref="A5:C5"/>
    <x:mergeCell ref="E6:G8"/>
    <x:mergeCell ref="E5:G5"/>
    <x:mergeCell ref="I6:K8"/>
    <x:mergeCell ref="I5:K5"/>
    <x:mergeCell ref="M6:N8"/>
    <x:mergeCell ref="M5:N5"/>
    <x:mergeCell ref="A11:N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32" hidden="0" customWidth="1"/>
    <x:col min="5" max="5" width="48" hidden="0" customWidth="1"/>
    <x:col min="6" max="6" width="18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8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0" customHeight="1">
      <x:c r="A1" s="513" t="str">
        <x:v>Enhancement Requests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  <x:c r="N1" s="513"/>
    </x:row>
    <x:row r="2" ht="20" customHeight="1">
      <x:c r="A2" s="513"/>
      <x:c r="B2" s="513"/>
      <x:c r="C2" s="513"/>
      <x:c r="D2" s="513"/>
      <x:c r="E2" s="513"/>
      <x:c r="F2" s="513"/>
      <x:c r="G2" s="513"/>
      <x:c r="H2" s="513"/>
      <x:c r="I2" s="513"/>
      <x:c r="J2" s="513"/>
      <x:c r="K2" s="513"/>
      <x:c r="L2" s="513"/>
      <x:c r="M2" s="513"/>
      <x:c r="N2" s="513"/>
    </x:row>
    <x:row r="3" ht="20" customHeight="1">
      <x:c r="A3" s="514" t="str">
        <x:v>Enhancement requests submitted by customers or CS</x:v>
      </x:c>
      <x:c r="B3" s="514"/>
      <x:c r="C3" s="514"/>
      <x:c r="D3" s="514"/>
      <x:c r="E3" s="514"/>
      <x:c r="F3" s="514"/>
      <x:c r="G3" s="514"/>
      <x:c r="H3" s="514"/>
      <x:c r="I3" s="514"/>
      <x:c r="J3" s="514"/>
      <x:c r="K3" s="514"/>
      <x:c r="L3" s="514"/>
      <x:c r="M3" s="514"/>
      <x:c r="N3" s="514"/>
    </x:row>
    <x:row r="4" ht="20" customHeight="1">
      <x:c r="A4" s="609"/>
      <x:c r="B4" s="609"/>
      <x:c r="C4" s="609"/>
      <x:c r="D4" s="609"/>
      <x:c r="E4" s="609"/>
      <x:c r="F4" s="609"/>
      <x:c r="G4" s="609"/>
      <x:c r="H4" s="609"/>
      <x:c r="I4" s="609"/>
      <x:c r="J4" s="609"/>
      <x:c r="K4" s="609"/>
      <x:c r="L4" s="609"/>
      <x:c r="M4" s="609"/>
      <x:c r="N4" s="609"/>
    </x:row>
    <x:row r="5" ht="20" customHeight="1">
      <x:c r="A5" s="566" t="str">
        <x:v>TOTAL REQUESTS</x:v>
      </x:c>
      <x:c r="B5" s="693"/>
      <x:c r="C5" s="567"/>
      <x:c r="D5" s="609"/>
      <x:c r="E5" s="516" t="str">
        <x:v>BOOKING MODULE</x:v>
      </x:c>
      <x:c r="F5" s="517"/>
      <x:c r="G5" s="518"/>
      <x:c r="H5" s="609"/>
      <x:c r="I5" s="519" t="str">
        <x:v>SI MODULE</x:v>
      </x:c>
      <x:c r="J5" s="520"/>
      <x:c r="K5" s="521"/>
      <x:c r="L5" s="609"/>
      <x:c r="M5" s="522" t="str">
        <x:v>VGM MODULE</x:v>
      </x:c>
      <x:c r="N5" s="524"/>
    </x:row>
    <x:row r="6" ht="20" customHeight="1">
      <x:c r="A6" s="575" t="n">
        <x:f>COUNTA(Data_Issue!$A$2:$A$100)</x:f>
        <x:v>3</x:v>
      </x:c>
      <x:c r="B6" s="694"/>
      <x:c r="C6" s="576"/>
      <x:c r="D6" s="609"/>
      <x:c r="E6" s="527" t="n">
        <x:f>COUNTIF(Data_Issue!$B$2:$B$100,"*Booking*")</x:f>
        <x:v>0</x:v>
      </x:c>
      <x:c r="F6" s="528"/>
      <x:c r="G6" s="529"/>
      <x:c r="H6" s="609"/>
      <x:c r="I6" s="624" t="n">
        <x:f>COUNTIF(Data_Issue!$B$2:$B$100,"*SI*")</x:f>
        <x:v>0</x:v>
      </x:c>
      <x:c r="J6" s="531"/>
      <x:c r="K6" s="532"/>
      <x:c r="L6" s="609"/>
      <x:c r="M6" s="533" t="n">
        <x:f>COUNTIF(Data_Issue!$B$2:$B$100,"*VGM*")</x:f>
        <x:v>0</x:v>
      </x:c>
      <x:c r="N6" s="535"/>
    </x:row>
    <x:row r="7" ht="20" customHeight="1">
      <x:c r="A7" s="583"/>
      <x:c r="B7" s="695"/>
      <x:c r="C7" s="584"/>
      <x:c r="D7" s="609"/>
      <x:c r="E7" s="538"/>
      <x:c r="F7" s="539"/>
      <x:c r="G7" s="540"/>
      <x:c r="H7" s="609"/>
      <x:c r="I7" s="541"/>
      <x:c r="J7" s="542"/>
      <x:c r="K7" s="543"/>
      <x:c r="L7" s="609"/>
      <x:c r="M7" s="544"/>
      <x:c r="N7" s="546"/>
    </x:row>
    <x:row r="8" ht="20" customHeight="1">
      <x:c r="A8" s="591"/>
      <x:c r="B8" s="696"/>
      <x:c r="C8" s="592"/>
      <x:c r="D8" s="609"/>
      <x:c r="E8" s="549"/>
      <x:c r="F8" s="550"/>
      <x:c r="G8" s="551"/>
      <x:c r="H8" s="609"/>
      <x:c r="I8" s="552"/>
      <x:c r="J8" s="553"/>
      <x:c r="K8" s="554"/>
      <x:c r="L8" s="609"/>
      <x:c r="M8" s="555"/>
      <x:c r="N8" s="557"/>
    </x:row>
    <x:row r="9" ht="20" customHeight="1">
      <x:c r="A9" s="609"/>
      <x:c r="B9" s="609"/>
      <x:c r="C9" s="609"/>
      <x:c r="D9" s="609"/>
      <x:c r="E9" s="609"/>
      <x:c r="F9" s="609"/>
      <x:c r="G9" s="609"/>
      <x:c r="H9" s="609"/>
      <x:c r="I9" s="609"/>
      <x:c r="J9" s="609"/>
      <x:c r="K9" s="609"/>
      <x:c r="L9" s="609"/>
      <x:c r="M9" s="609"/>
      <x:c r="N9" s="609"/>
    </x:row>
    <x:row r="10" ht="20" customHeight="1">
      <x:c r="A10" s="609"/>
      <x:c r="B10" s="609"/>
      <x:c r="C10" s="609"/>
      <x:c r="D10" s="609"/>
      <x:c r="E10" s="609"/>
      <x:c r="F10" s="609"/>
      <x:c r="G10" s="609"/>
      <x:c r="H10" s="609"/>
      <x:c r="I10" s="609"/>
      <x:c r="J10" s="609"/>
      <x:c r="K10" s="609"/>
      <x:c r="L10" s="609"/>
      <x:c r="M10" s="609"/>
      <x:c r="N10" s="609"/>
    </x:row>
    <x:row r="11" ht="20" customHeight="1">
      <x:c r="A11" s="643" t="str">
        <x:v>ENHANCEMENT REQUEST REGISTER</x:v>
      </x:c>
      <x:c r="B11" s="643"/>
      <x:c r="C11" s="643"/>
      <x:c r="D11" s="643"/>
      <x:c r="E11" s="643"/>
      <x:c r="F11" s="643"/>
      <x:c r="G11" s="643"/>
      <x:c r="H11" s="643"/>
      <x:c r="I11" s="643"/>
      <x:c r="J11" s="643"/>
      <x:c r="K11" s="643"/>
      <x:c r="L11" s="643"/>
      <x:c r="M11" s="643"/>
      <x:c r="N11" s="643"/>
    </x:row>
    <x:row r="12" ht="20" customHeight="1">
      <x:c r="A12" s="686" t="str">
        <x:v>Request ID</x:v>
      </x:c>
      <x:c r="B12" s="687" t="str">
        <x:v>Module</x:v>
      </x:c>
      <x:c r="C12" s="687" t="str">
        <x:v>Current Limitation</x:v>
      </x:c>
      <x:c r="D12" s="687" t="str">
        <x:v>Business Impact</x:v>
      </x:c>
      <x:c r="E12" s="687" t="str">
        <x:v>Requested Enhancement</x:v>
      </x:c>
      <x:c r="F12" s="687" t="str">
        <x:v>Source</x:v>
      </x:c>
      <x:c r="G12" s="688" t="str">
        <x:v>Status</x:v>
      </x:c>
      <x:c r="H12" s="609"/>
      <x:c r="I12" s="609"/>
      <x:c r="J12" s="609"/>
      <x:c r="K12" s="609"/>
      <x:c r="L12" s="609"/>
      <x:c r="M12" s="609"/>
      <x:c r="N12" s="609"/>
    </x:row>
    <x:row r="13" ht="20" customHeight="1">
      <x:c r="A13" s="699" t="str">
        <x:v>IS001</x:v>
      </x:c>
      <x:c r="B13" s="690" t="str">
        <x:v>Booking Tracking</x:v>
      </x:c>
      <x:c r="C13" s="690" t="str">
        <x:v>Chỉ có thể tra cứu bằng YVF Booking No., chưa hỗ trợ Carrier Booking No.</x:v>
      </x:c>
      <x:c r="D13" s="690" t="str">
        <x:v>Tăng thời gian thao tác khi tra cứu lô hàng</x:v>
      </x:c>
      <x:c r="E13" s="690" t="str">
        <x:v>Cho phép tra cứu bằng cả Carrier Booking No. và YVF Booking No.</x:v>
      </x:c>
      <x:c r="F13" s="690" t="str">
        <x:v>CS</x:v>
      </x:c>
      <x:c r="G13" s="672" t="str">
        <x:v>Open</x:v>
      </x:c>
      <x:c r="H13" s="609"/>
      <x:c r="I13" s="609"/>
      <x:c r="J13" s="609"/>
      <x:c r="K13" s="609"/>
      <x:c r="L13" s="609"/>
      <x:c r="M13" s="609"/>
      <x:c r="N13" s="609"/>
    </x:row>
    <x:row r="14" ht="20" customHeight="1">
      <x:c r="A14" s="699" t="str">
        <x:v>IS002</x:v>
      </x:c>
      <x:c r="B14" s="690" t="str">
        <x:v>Submit SI</x:v>
      </x:c>
      <x:c r="C14" s="690" t="str">
        <x:v>Trường Total Volume hiện đang yêu cầu nhập Gross Weight (GRW).</x:v>
      </x:c>
      <x:c r="D14" s="690" t="str">
        <x:v>Tăng nguy cơ nhập sai dữ liệu</x:v>
      </x:c>
      <x:c r="E14" s="690" t="str">
        <x:v>Đổi tên trường chính xác Volume (CBM)</x:v>
      </x:c>
      <x:c r="F14" s="690" t="str">
        <x:v>CS</x:v>
      </x:c>
      <x:c r="G14" s="672" t="str">
        <x:v>Open</x:v>
      </x:c>
      <x:c r="H14" s="609"/>
      <x:c r="I14" s="609"/>
      <x:c r="J14" s="609"/>
      <x:c r="K14" s="609"/>
      <x:c r="L14" s="609"/>
      <x:c r="M14" s="609"/>
      <x:c r="N14" s="609"/>
    </x:row>
    <x:row r="15" ht="20" customHeight="1">
      <x:c r="A15" s="700" t="str">
        <x:v>IS003</x:v>
      </x:c>
      <x:c r="B15" s="692" t="str">
        <x:v>VGM</x:v>
      </x:c>
      <x:c r="C15" s="692" t="str">
        <x:v>VGM vẫn phải submit thủ công qua email cho OFF PIC.</x:v>
      </x:c>
      <x:c r="D15" s="692" t="str">
        <x:v>Tăng thao tác thủ công và rủi ro bỏ sót</x:v>
      </x:c>
      <x:c r="E15" s="692" t="str">
        <x:v>Bổ sung chức năng Submit VGM trực tiếp trên YVF.</x:v>
      </x:c>
      <x:c r="F15" s="692" t="str">
        <x:v>CS</x:v>
      </x:c>
      <x:c r="G15" s="674" t="str">
        <x:v>Open</x:v>
      </x:c>
      <x:c r="H15" s="609"/>
      <x:c r="I15" s="609"/>
      <x:c r="J15" s="609"/>
      <x:c r="K15" s="609"/>
      <x:c r="L15" s="609"/>
      <x:c r="M15" s="609"/>
      <x:c r="N15" s="609"/>
    </x:row>
    <x:row r="16" ht="20" customHeight="1">
      <x:c r="A16" s="609"/>
      <x:c r="B16" s="609"/>
      <x:c r="C16" s="609"/>
      <x:c r="D16" s="609"/>
      <x:c r="E16" s="609"/>
      <x:c r="F16" s="609"/>
      <x:c r="G16" s="609"/>
      <x:c r="H16" s="609"/>
      <x:c r="I16" s="609"/>
      <x:c r="J16" s="609"/>
      <x:c r="K16" s="609"/>
      <x:c r="L16" s="609"/>
      <x:c r="M16" s="609"/>
      <x:c r="N16" s="609"/>
    </x:row>
    <x:row r="17" ht="20" customHeight="1">
      <x:c r="A17" s="609"/>
      <x:c r="B17" s="609"/>
      <x:c r="C17" s="609"/>
      <x:c r="D17" s="609"/>
      <x:c r="E17" s="609"/>
      <x:c r="F17" s="609"/>
      <x:c r="G17" s="609"/>
      <x:c r="H17" s="609"/>
      <x:c r="I17" s="609"/>
      <x:c r="J17" s="609"/>
      <x:c r="K17" s="609"/>
      <x:c r="L17" s="609"/>
      <x:c r="M17" s="609"/>
      <x:c r="N17" s="609"/>
    </x:row>
    <x:row r="18" ht="20" customHeight="1">
      <x:c r="A18" s="609"/>
      <x:c r="B18" s="609"/>
      <x:c r="C18" s="609"/>
      <x:c r="D18" s="609"/>
      <x:c r="E18" s="609"/>
      <x:c r="F18" s="609"/>
      <x:c r="G18" s="609"/>
      <x:c r="H18" s="609"/>
      <x:c r="I18" s="609"/>
      <x:c r="J18" s="609"/>
      <x:c r="K18" s="609"/>
      <x:c r="L18" s="609"/>
      <x:c r="M18" s="609"/>
      <x:c r="N18" s="609"/>
    </x:row>
    <x:row r="19" ht="20" customHeight="1">
      <x:c r="A19" s="609"/>
      <x:c r="B19" s="609"/>
      <x:c r="C19" s="609"/>
      <x:c r="D19" s="609"/>
      <x:c r="E19" s="609"/>
      <x:c r="F19" s="609"/>
      <x:c r="G19" s="609"/>
      <x:c r="H19" s="609"/>
      <x:c r="I19" s="609"/>
      <x:c r="J19" s="609"/>
      <x:c r="K19" s="609"/>
      <x:c r="L19" s="609"/>
      <x:c r="M19" s="609"/>
      <x:c r="N19" s="609"/>
    </x:row>
    <x:row r="20" ht="20" customHeight="1">
      <x:c r="A20" s="609"/>
      <x:c r="B20" s="609"/>
      <x:c r="C20" s="609"/>
      <x:c r="D20" s="609"/>
      <x:c r="E20" s="609"/>
      <x:c r="F20" s="609"/>
      <x:c r="G20" s="609"/>
      <x:c r="H20" s="609"/>
      <x:c r="I20" s="609"/>
      <x:c r="J20" s="609"/>
      <x:c r="K20" s="609"/>
      <x:c r="L20" s="609"/>
      <x:c r="M20" s="609"/>
      <x:c r="N20" s="609"/>
    </x:row>
    <x:row r="21" ht="20" customHeight="1">
      <x:c r="A21" s="609"/>
      <x:c r="B21" s="609"/>
      <x:c r="C21" s="609"/>
      <x:c r="D21" s="609"/>
      <x:c r="E21" s="609"/>
      <x:c r="F21" s="609"/>
      <x:c r="G21" s="609"/>
      <x:c r="H21" s="609"/>
      <x:c r="I21" s="609"/>
      <x:c r="J21" s="609"/>
      <x:c r="K21" s="609"/>
      <x:c r="L21" s="609"/>
      <x:c r="M21" s="609"/>
      <x:c r="N21" s="609"/>
    </x:row>
    <x:row r="22" ht="20" customHeight="1">
      <x:c r="A22" s="609"/>
      <x:c r="B22" s="609"/>
      <x:c r="C22" s="609"/>
      <x:c r="D22" s="609"/>
      <x:c r="E22" s="609"/>
      <x:c r="F22" s="609"/>
      <x:c r="G22" s="609"/>
      <x:c r="H22" s="609"/>
      <x:c r="I22" s="609"/>
      <x:c r="J22" s="609"/>
      <x:c r="K22" s="609"/>
      <x:c r="L22" s="609"/>
      <x:c r="M22" s="609"/>
      <x:c r="N22" s="609"/>
    </x:row>
    <x:row r="23" ht="20" customHeight="1">
      <x:c r="A23" s="609"/>
      <x:c r="B23" s="609"/>
      <x:c r="C23" s="609"/>
      <x:c r="D23" s="609"/>
      <x:c r="E23" s="609"/>
      <x:c r="F23" s="609"/>
      <x:c r="G23" s="609"/>
      <x:c r="H23" s="609"/>
      <x:c r="I23" s="609"/>
      <x:c r="J23" s="609"/>
      <x:c r="K23" s="609"/>
      <x:c r="L23" s="609"/>
      <x:c r="M23" s="609"/>
      <x:c r="N23" s="609"/>
    </x:row>
    <x:row r="24" ht="20" customHeight="1">
      <x:c r="A24" s="609"/>
      <x:c r="B24" s="609"/>
      <x:c r="C24" s="609"/>
      <x:c r="D24" s="609"/>
      <x:c r="E24" s="609"/>
      <x:c r="F24" s="609"/>
      <x:c r="G24" s="609"/>
      <x:c r="H24" s="609"/>
      <x:c r="I24" s="609"/>
      <x:c r="J24" s="609"/>
      <x:c r="K24" s="609"/>
      <x:c r="L24" s="609"/>
      <x:c r="M24" s="609"/>
      <x:c r="N24" s="609"/>
    </x:row>
    <x:row r="25" ht="20" customHeight="1">
      <x:c r="A25" s="609"/>
      <x:c r="B25" s="609"/>
      <x:c r="C25" s="609"/>
      <x:c r="D25" s="609"/>
      <x:c r="E25" s="609"/>
      <x:c r="F25" s="609"/>
      <x:c r="G25" s="609"/>
      <x:c r="H25" s="609"/>
      <x:c r="I25" s="609"/>
      <x:c r="J25" s="609"/>
      <x:c r="K25" s="609"/>
      <x:c r="L25" s="609"/>
      <x:c r="M25" s="609"/>
      <x:c r="N25" s="609"/>
    </x:row>
    <x:row r="26" ht="20" customHeight="1">
      <x:c r="A26" s="609"/>
      <x:c r="B26" s="609"/>
      <x:c r="C26" s="609"/>
      <x:c r="D26" s="609"/>
      <x:c r="E26" s="609"/>
      <x:c r="F26" s="609"/>
      <x:c r="G26" s="609"/>
      <x:c r="H26" s="609"/>
      <x:c r="I26" s="609"/>
      <x:c r="J26" s="609"/>
      <x:c r="K26" s="609"/>
      <x:c r="L26" s="609"/>
      <x:c r="M26" s="609"/>
      <x:c r="N26" s="609"/>
    </x:row>
    <x:row r="27" ht="20" customHeight="1">
      <x:c r="A27" s="609"/>
      <x:c r="B27" s="609"/>
      <x:c r="C27" s="609"/>
      <x:c r="D27" s="609"/>
      <x:c r="E27" s="609"/>
      <x:c r="F27" s="609"/>
      <x:c r="G27" s="609"/>
      <x:c r="H27" s="609"/>
      <x:c r="I27" s="609"/>
      <x:c r="J27" s="609"/>
      <x:c r="K27" s="609"/>
      <x:c r="L27" s="609"/>
      <x:c r="M27" s="609"/>
      <x:c r="N27" s="609"/>
    </x:row>
    <x:row r="28" ht="20" customHeight="1">
      <x:c r="A28" s="609"/>
      <x:c r="B28" s="609"/>
      <x:c r="C28" s="609"/>
      <x:c r="D28" s="609"/>
      <x:c r="E28" s="609"/>
      <x:c r="F28" s="609"/>
      <x:c r="G28" s="609"/>
      <x:c r="H28" s="609"/>
      <x:c r="I28" s="609"/>
      <x:c r="J28" s="609"/>
      <x:c r="K28" s="609"/>
      <x:c r="L28" s="609"/>
      <x:c r="M28" s="609"/>
      <x:c r="N28" s="609"/>
    </x:row>
    <x:row r="29" ht="20" customHeight="1">
      <x:c r="A29" s="609"/>
      <x:c r="B29" s="609"/>
      <x:c r="C29" s="609"/>
      <x:c r="D29" s="609"/>
      <x:c r="E29" s="609"/>
      <x:c r="F29" s="609"/>
      <x:c r="G29" s="609"/>
      <x:c r="H29" s="609"/>
      <x:c r="I29" s="609"/>
      <x:c r="J29" s="609"/>
      <x:c r="K29" s="609"/>
      <x:c r="L29" s="609"/>
      <x:c r="M29" s="609"/>
      <x:c r="N29" s="609"/>
    </x:row>
    <x:row r="30" ht="20" customHeight="1">
      <x:c r="A30" s="609"/>
      <x:c r="B30" s="609"/>
      <x:c r="C30" s="609"/>
      <x:c r="D30" s="609"/>
      <x:c r="E30" s="609"/>
      <x:c r="F30" s="609"/>
      <x:c r="G30" s="609"/>
      <x:c r="H30" s="609"/>
      <x:c r="I30" s="609"/>
      <x:c r="J30" s="609"/>
      <x:c r="K30" s="609"/>
      <x:c r="L30" s="609"/>
      <x:c r="M30" s="609"/>
      <x:c r="N30" s="609"/>
    </x:row>
    <x:row r="31" ht="20" customHeight="1">
      <x:c r="A31" s="609"/>
      <x:c r="B31" s="609"/>
      <x:c r="C31" s="609"/>
      <x:c r="D31" s="609"/>
      <x:c r="E31" s="609"/>
      <x:c r="F31" s="609"/>
      <x:c r="G31" s="609"/>
      <x:c r="H31" s="609"/>
      <x:c r="I31" s="609"/>
      <x:c r="J31" s="609"/>
      <x:c r="K31" s="609"/>
      <x:c r="L31" s="609"/>
      <x:c r="M31" s="609"/>
      <x:c r="N31" s="609"/>
    </x:row>
    <x:row r="32" ht="20" customHeight="1">
      <x:c r="A32" s="609"/>
      <x:c r="B32" s="609"/>
      <x:c r="C32" s="609"/>
      <x:c r="D32" s="609"/>
      <x:c r="E32" s="609"/>
      <x:c r="F32" s="609"/>
      <x:c r="G32" s="609"/>
      <x:c r="H32" s="609"/>
      <x:c r="I32" s="609"/>
      <x:c r="J32" s="609"/>
      <x:c r="K32" s="609"/>
      <x:c r="L32" s="609"/>
      <x:c r="M32" s="609"/>
      <x:c r="N32" s="609"/>
    </x:row>
    <x:row r="33" ht="20" customHeight="1">
      <x:c r="A33" s="609"/>
      <x:c r="B33" s="609"/>
      <x:c r="C33" s="609"/>
      <x:c r="D33" s="609"/>
      <x:c r="E33" s="609"/>
      <x:c r="F33" s="609"/>
      <x:c r="G33" s="609"/>
      <x:c r="H33" s="609"/>
      <x:c r="I33" s="609"/>
      <x:c r="J33" s="609"/>
      <x:c r="K33" s="609"/>
      <x:c r="L33" s="609"/>
      <x:c r="M33" s="609"/>
      <x:c r="N33" s="609"/>
    </x:row>
    <x:row r="34" ht="20" customHeight="1">
      <x:c r="A34" s="609"/>
      <x:c r="B34" s="609"/>
      <x:c r="C34" s="609"/>
      <x:c r="D34" s="609"/>
      <x:c r="E34" s="609"/>
      <x:c r="F34" s="609"/>
      <x:c r="G34" s="609"/>
      <x:c r="H34" s="609"/>
      <x:c r="I34" s="609"/>
      <x:c r="J34" s="609"/>
      <x:c r="K34" s="609"/>
      <x:c r="L34" s="609"/>
      <x:c r="M34" s="609"/>
      <x:c r="N34" s="609"/>
    </x:row>
    <x:row r="35" ht="20" customHeight="1">
      <x:c r="A35" s="609"/>
      <x:c r="B35" s="609"/>
      <x:c r="C35" s="609"/>
      <x:c r="D35" s="609"/>
      <x:c r="E35" s="609"/>
      <x:c r="F35" s="609"/>
      <x:c r="G35" s="609"/>
      <x:c r="H35" s="609"/>
      <x:c r="I35" s="609"/>
      <x:c r="J35" s="609"/>
      <x:c r="K35" s="609"/>
      <x:c r="L35" s="609"/>
      <x:c r="M35" s="609"/>
      <x:c r="N35" s="609"/>
    </x:row>
    <x:row r="36" ht="20" customHeight="1">
      <x:c r="A36" s="609"/>
      <x:c r="B36" s="609"/>
      <x:c r="C36" s="609"/>
      <x:c r="D36" s="609"/>
      <x:c r="E36" s="609"/>
      <x:c r="F36" s="609"/>
      <x:c r="G36" s="609"/>
      <x:c r="H36" s="609"/>
      <x:c r="I36" s="609"/>
      <x:c r="J36" s="609"/>
      <x:c r="K36" s="609"/>
      <x:c r="L36" s="609"/>
      <x:c r="M36" s="609"/>
      <x:c r="N36" s="609"/>
    </x:row>
    <x:row r="37" ht="20" customHeight="1">
      <x:c r="A37" s="609"/>
      <x:c r="B37" s="609"/>
      <x:c r="C37" s="609"/>
      <x:c r="D37" s="609"/>
      <x:c r="E37" s="609"/>
      <x:c r="F37" s="609"/>
      <x:c r="G37" s="609"/>
      <x:c r="H37" s="609"/>
      <x:c r="I37" s="609"/>
      <x:c r="J37" s="609"/>
      <x:c r="K37" s="609"/>
      <x:c r="L37" s="609"/>
      <x:c r="M37" s="609"/>
      <x:c r="N37" s="609"/>
    </x:row>
    <x:row r="38" ht="20" customHeight="1">
      <x:c r="A38" s="609"/>
      <x:c r="B38" s="609"/>
      <x:c r="C38" s="609"/>
      <x:c r="D38" s="609"/>
      <x:c r="E38" s="609"/>
      <x:c r="F38" s="609"/>
      <x:c r="G38" s="609"/>
      <x:c r="H38" s="609"/>
      <x:c r="I38" s="609"/>
      <x:c r="J38" s="609"/>
      <x:c r="K38" s="609"/>
      <x:c r="L38" s="609"/>
      <x:c r="M38" s="609"/>
      <x:c r="N38" s="609"/>
    </x:row>
    <x:row r="39" ht="20" customHeight="1">
      <x:c r="A39" s="609"/>
      <x:c r="B39" s="609"/>
      <x:c r="C39" s="609"/>
      <x:c r="D39" s="609"/>
      <x:c r="E39" s="609"/>
      <x:c r="F39" s="609"/>
      <x:c r="G39" s="609"/>
      <x:c r="H39" s="609"/>
      <x:c r="I39" s="609"/>
      <x:c r="J39" s="609"/>
      <x:c r="K39" s="609"/>
      <x:c r="L39" s="609"/>
      <x:c r="M39" s="609"/>
      <x:c r="N39" s="609"/>
    </x:row>
    <x:row r="40" ht="20" customHeight="1">
      <x:c r="A40" s="609"/>
      <x:c r="B40" s="609"/>
      <x:c r="C40" s="609"/>
      <x:c r="D40" s="609"/>
      <x:c r="E40" s="609"/>
      <x:c r="F40" s="609"/>
      <x:c r="G40" s="609"/>
      <x:c r="H40" s="609"/>
      <x:c r="I40" s="609"/>
      <x:c r="J40" s="609"/>
      <x:c r="K40" s="609"/>
      <x:c r="L40" s="609"/>
      <x:c r="M40" s="609"/>
      <x:c r="N40" s="609"/>
    </x:row>
    <x:row r="41" ht="20" customHeight="1">
      <x:c r="A41" s="609"/>
      <x:c r="B41" s="609"/>
      <x:c r="C41" s="609"/>
      <x:c r="D41" s="609"/>
      <x:c r="E41" s="609"/>
      <x:c r="F41" s="609"/>
      <x:c r="G41" s="609"/>
      <x:c r="H41" s="609"/>
      <x:c r="I41" s="609"/>
      <x:c r="J41" s="609"/>
      <x:c r="K41" s="609"/>
      <x:c r="L41" s="609"/>
      <x:c r="M41" s="609"/>
      <x:c r="N41" s="609"/>
    </x:row>
    <x:row r="42" ht="20" customHeight="1">
      <x:c r="A42" s="609"/>
      <x:c r="B42" s="609"/>
      <x:c r="C42" s="609"/>
      <x:c r="D42" s="609"/>
      <x:c r="E42" s="609"/>
      <x:c r="F42" s="609"/>
      <x:c r="G42" s="609"/>
      <x:c r="H42" s="609"/>
      <x:c r="I42" s="609"/>
      <x:c r="J42" s="609"/>
      <x:c r="K42" s="609"/>
      <x:c r="L42" s="609"/>
      <x:c r="M42" s="609"/>
      <x:c r="N42" s="609"/>
    </x:row>
    <x:row r="43" ht="20" customHeight="1">
      <x:c r="A43" s="609"/>
      <x:c r="B43" s="609"/>
      <x:c r="C43" s="609"/>
      <x:c r="D43" s="609"/>
      <x:c r="E43" s="609"/>
      <x:c r="F43" s="609"/>
      <x:c r="G43" s="609"/>
      <x:c r="H43" s="609"/>
      <x:c r="I43" s="609"/>
      <x:c r="J43" s="609"/>
      <x:c r="K43" s="609"/>
      <x:c r="L43" s="609"/>
      <x:c r="M43" s="609"/>
      <x:c r="N43" s="609"/>
    </x:row>
    <x:row r="44" ht="20" customHeight="1">
      <x:c r="A44" s="609"/>
      <x:c r="B44" s="609"/>
      <x:c r="C44" s="609"/>
      <x:c r="D44" s="609"/>
      <x:c r="E44" s="609"/>
      <x:c r="F44" s="609"/>
      <x:c r="G44" s="609"/>
      <x:c r="H44" s="609"/>
      <x:c r="I44" s="609"/>
      <x:c r="J44" s="609"/>
      <x:c r="K44" s="609"/>
      <x:c r="L44" s="609"/>
      <x:c r="M44" s="609"/>
      <x:c r="N44" s="609"/>
    </x:row>
    <x:row r="45" ht="20" customHeight="1">
      <x:c r="A45" s="609"/>
      <x:c r="B45" s="609"/>
      <x:c r="C45" s="609"/>
      <x:c r="D45" s="609"/>
      <x:c r="E45" s="609"/>
      <x:c r="F45" s="609"/>
      <x:c r="G45" s="609"/>
      <x:c r="H45" s="609"/>
      <x:c r="I45" s="609"/>
      <x:c r="J45" s="609"/>
      <x:c r="K45" s="609"/>
      <x:c r="L45" s="609"/>
      <x:c r="M45" s="609"/>
      <x:c r="N45" s="609"/>
    </x:row>
    <x:row r="46" ht="20" customHeight="1">
      <x:c r="A46" s="609"/>
      <x:c r="B46" s="609"/>
      <x:c r="C46" s="609"/>
      <x:c r="D46" s="609"/>
      <x:c r="E46" s="609"/>
      <x:c r="F46" s="609"/>
      <x:c r="G46" s="609"/>
      <x:c r="H46" s="609"/>
      <x:c r="I46" s="609"/>
      <x:c r="J46" s="609"/>
      <x:c r="K46" s="609"/>
      <x:c r="L46" s="609"/>
      <x:c r="M46" s="609"/>
      <x:c r="N46" s="609"/>
    </x:row>
    <x:row r="47" ht="20" customHeight="1">
      <x:c r="A47" s="609"/>
      <x:c r="B47" s="609"/>
      <x:c r="C47" s="609"/>
      <x:c r="D47" s="609"/>
      <x:c r="E47" s="609"/>
      <x:c r="F47" s="609"/>
      <x:c r="G47" s="609"/>
      <x:c r="H47" s="609"/>
      <x:c r="I47" s="609"/>
      <x:c r="J47" s="609"/>
      <x:c r="K47" s="609"/>
      <x:c r="L47" s="609"/>
      <x:c r="M47" s="609"/>
      <x:c r="N47" s="609"/>
    </x:row>
    <x:row r="48" ht="20" customHeight="1">
      <x:c r="A48" s="609"/>
      <x:c r="B48" s="609"/>
      <x:c r="C48" s="609"/>
      <x:c r="D48" s="609"/>
      <x:c r="E48" s="609"/>
      <x:c r="F48" s="609"/>
      <x:c r="G48" s="609"/>
      <x:c r="H48" s="609"/>
      <x:c r="I48" s="609"/>
      <x:c r="J48" s="609"/>
      <x:c r="K48" s="609"/>
      <x:c r="L48" s="609"/>
      <x:c r="M48" s="609"/>
      <x:c r="N48" s="609"/>
    </x:row>
    <x:row r="49" ht="20" customHeight="1">
      <x:c r="A49" s="609"/>
      <x:c r="B49" s="609"/>
      <x:c r="C49" s="609"/>
      <x:c r="D49" s="609"/>
      <x:c r="E49" s="609"/>
      <x:c r="F49" s="609"/>
      <x:c r="G49" s="609"/>
      <x:c r="H49" s="609"/>
      <x:c r="I49" s="609"/>
      <x:c r="J49" s="609"/>
      <x:c r="K49" s="609"/>
      <x:c r="L49" s="609"/>
      <x:c r="M49" s="609"/>
      <x:c r="N49" s="609"/>
    </x:row>
    <x:row r="50" ht="20" customHeight="1">
      <x:c r="A50" s="609"/>
      <x:c r="B50" s="609"/>
      <x:c r="C50" s="609"/>
      <x:c r="D50" s="609"/>
      <x:c r="E50" s="609"/>
      <x:c r="F50" s="609"/>
      <x:c r="G50" s="609"/>
      <x:c r="H50" s="609"/>
      <x:c r="I50" s="609"/>
      <x:c r="J50" s="609"/>
      <x:c r="K50" s="609"/>
      <x:c r="L50" s="609"/>
      <x:c r="M50" s="609"/>
      <x:c r="N50" s="609"/>
    </x:row>
    <x:row r="51" ht="20" customHeight="1">
      <x:c r="A51" s="609"/>
      <x:c r="B51" s="609"/>
      <x:c r="C51" s="609"/>
      <x:c r="D51" s="609"/>
      <x:c r="E51" s="609"/>
      <x:c r="F51" s="609"/>
      <x:c r="G51" s="609"/>
      <x:c r="H51" s="609"/>
      <x:c r="I51" s="609"/>
      <x:c r="J51" s="609"/>
      <x:c r="K51" s="609"/>
      <x:c r="L51" s="609"/>
      <x:c r="M51" s="609"/>
      <x:c r="N51" s="609"/>
    </x:row>
    <x:row r="52" ht="20" customHeight="1">
      <x:c r="A52" s="609"/>
      <x:c r="B52" s="609"/>
      <x:c r="C52" s="609"/>
      <x:c r="D52" s="609"/>
      <x:c r="E52" s="609"/>
      <x:c r="F52" s="609"/>
      <x:c r="G52" s="609"/>
      <x:c r="H52" s="609"/>
      <x:c r="I52" s="609"/>
      <x:c r="J52" s="609"/>
      <x:c r="K52" s="609"/>
      <x:c r="L52" s="609"/>
      <x:c r="M52" s="609"/>
      <x:c r="N52" s="609"/>
    </x:row>
    <x:row r="53" ht="20" customHeight="1">
      <x:c r="A53" s="609"/>
      <x:c r="B53" s="609"/>
      <x:c r="C53" s="609"/>
      <x:c r="D53" s="609"/>
      <x:c r="E53" s="609"/>
      <x:c r="F53" s="609"/>
      <x:c r="G53" s="609"/>
      <x:c r="H53" s="609"/>
      <x:c r="I53" s="609"/>
      <x:c r="J53" s="609"/>
      <x:c r="K53" s="609"/>
      <x:c r="L53" s="609"/>
      <x:c r="M53" s="609"/>
      <x:c r="N53" s="609"/>
    </x:row>
    <x:row r="54" ht="20" customHeight="1">
      <x:c r="A54" s="609"/>
      <x:c r="B54" s="609"/>
      <x:c r="C54" s="609"/>
      <x:c r="D54" s="609"/>
      <x:c r="E54" s="609"/>
      <x:c r="F54" s="609"/>
      <x:c r="G54" s="609"/>
      <x:c r="H54" s="609"/>
      <x:c r="I54" s="609"/>
      <x:c r="J54" s="609"/>
      <x:c r="K54" s="609"/>
      <x:c r="L54" s="609"/>
      <x:c r="M54" s="609"/>
      <x:c r="N54" s="609"/>
    </x:row>
    <x:row r="55" ht="20" customHeight="1">
      <x:c r="A55" s="609"/>
      <x:c r="B55" s="609"/>
      <x:c r="C55" s="609"/>
      <x:c r="D55" s="609"/>
      <x:c r="E55" s="609"/>
      <x:c r="F55" s="609"/>
      <x:c r="G55" s="609"/>
      <x:c r="H55" s="609"/>
      <x:c r="I55" s="609"/>
      <x:c r="J55" s="609"/>
      <x:c r="K55" s="609"/>
      <x:c r="L55" s="609"/>
      <x:c r="M55" s="609"/>
      <x:c r="N55" s="609"/>
    </x:row>
    <x:row r="56" ht="20" customHeight="1">
      <x:c r="A56" s="609"/>
      <x:c r="B56" s="609"/>
      <x:c r="C56" s="609"/>
      <x:c r="D56" s="609"/>
      <x:c r="E56" s="609"/>
      <x:c r="F56" s="609"/>
      <x:c r="G56" s="609"/>
      <x:c r="H56" s="609"/>
      <x:c r="I56" s="609"/>
      <x:c r="J56" s="609"/>
      <x:c r="K56" s="609"/>
      <x:c r="L56" s="609"/>
      <x:c r="M56" s="609"/>
      <x:c r="N56" s="609"/>
    </x:row>
    <x:row r="57" ht="20" customHeight="1">
      <x:c r="A57" s="609"/>
      <x:c r="B57" s="609"/>
      <x:c r="C57" s="609"/>
      <x:c r="D57" s="609"/>
      <x:c r="E57" s="609"/>
      <x:c r="F57" s="609"/>
      <x:c r="G57" s="609"/>
      <x:c r="H57" s="609"/>
      <x:c r="I57" s="609"/>
      <x:c r="J57" s="609"/>
      <x:c r="K57" s="609"/>
      <x:c r="L57" s="609"/>
      <x:c r="M57" s="609"/>
      <x:c r="N57" s="609"/>
    </x:row>
    <x:row r="58" ht="20" customHeight="1">
      <x:c r="A58" s="609"/>
      <x:c r="B58" s="609"/>
      <x:c r="C58" s="609"/>
      <x:c r="D58" s="609"/>
      <x:c r="E58" s="609"/>
      <x:c r="F58" s="609"/>
      <x:c r="G58" s="609"/>
      <x:c r="H58" s="609"/>
      <x:c r="I58" s="609"/>
      <x:c r="J58" s="609"/>
      <x:c r="K58" s="609"/>
      <x:c r="L58" s="609"/>
      <x:c r="M58" s="609"/>
      <x:c r="N58" s="609"/>
    </x:row>
    <x:row r="59" ht="20" customHeight="1">
      <x:c r="A59" s="609"/>
      <x:c r="B59" s="609"/>
      <x:c r="C59" s="609"/>
      <x:c r="D59" s="609"/>
      <x:c r="E59" s="609"/>
      <x:c r="F59" s="609"/>
      <x:c r="G59" s="609"/>
      <x:c r="H59" s="609"/>
      <x:c r="I59" s="609"/>
      <x:c r="J59" s="609"/>
      <x:c r="K59" s="609"/>
      <x:c r="L59" s="609"/>
      <x:c r="M59" s="609"/>
      <x:c r="N59" s="609"/>
    </x:row>
    <x:row r="60" ht="20" customHeight="1">
      <x:c r="A60" s="609"/>
      <x:c r="B60" s="609"/>
      <x:c r="C60" s="609"/>
      <x:c r="D60" s="609"/>
      <x:c r="E60" s="609"/>
      <x:c r="F60" s="609"/>
      <x:c r="G60" s="609"/>
      <x:c r="H60" s="609"/>
      <x:c r="I60" s="609"/>
      <x:c r="J60" s="609"/>
      <x:c r="K60" s="609"/>
      <x:c r="L60" s="609"/>
      <x:c r="M60" s="609"/>
      <x:c r="N60" s="609"/>
    </x:row>
  </x:sheetData>
  <x:mergeCells>
    <x:mergeCell ref="A1:N2"/>
    <x:mergeCell ref="A3:N3"/>
    <x:mergeCell ref="A6:C8"/>
    <x:mergeCell ref="A5:C5"/>
    <x:mergeCell ref="E6:G8"/>
    <x:mergeCell ref="E5:G5"/>
    <x:mergeCell ref="I6:K8"/>
    <x:mergeCell ref="I5:K5"/>
    <x:mergeCell ref="M6:N8"/>
    <x:mergeCell ref="M5:N5"/>
    <x:mergeCell ref="A11:N11"/>
  </x:mergeCells>
  <x:pageMargins left="0.7" right="0.7" top="0.75" bottom="0.75" header="0.3" footer="0.3"/>
</x:worksheet>
</file>