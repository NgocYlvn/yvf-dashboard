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/>
  <workbookPr/>
  <mc:AlternateContent xmlns:mc="http://schemas.openxmlformats.org/markup-compatibility/2006">
    <mc:Choice Requires="x15">
      <x15ac:absPath xmlns:x15ac="http://schemas.microsoft.com/office/spreadsheetml/2010/11/ac" url="D:\YVF_Dashboard\data\"/>
    </mc:Choice>
  </mc:AlternateContent>
  <xr:revisionPtr revIDLastSave="0" documentId="13_ncr:20001_{675D0411-E454-4361-BDE2-9E2E9CFC32FD}" xr6:coauthVersionLast="47" xr6:coauthVersionMax="47" xr10:uidLastSave="{00000000-0000-0000-0000-000000000000}"/>
  <bookViews>
    <workbookView xWindow="-110" yWindow="-110" windowWidth="19420" windowHeight="10300" activeTab="2" xr2:uid="{00000000-000D-0000-FFFF-FFFF00000000}"/>
  </bookViews>
  <sheets>
    <sheet name="Data_Booking" sheetId="1" r:id="rId1"/>
    <sheet name="Data_SI" sheetId="2" r:id="rId2"/>
    <sheet name="Data_CustomerActive" sheetId="3" r:id="rId3"/>
    <sheet name="Data_Issue" sheetId="4" r:id="rId4"/>
    <sheet name="Customer_Feedback" sheetId="5" r:id="rId5"/>
    <sheet name="Overview" sheetId="6" r:id="rId6"/>
    <sheet name="Customer Adoption" sheetId="7" r:id="rId7"/>
    <sheet name="Booking Details" sheetId="8" r:id="rId8"/>
    <sheet name="User Issues" sheetId="9" r:id="rId9"/>
    <sheet name="Enhancement Requests" sheetId="10" r:id="rId10"/>
  </sheets>
  <calcPr calcId="191029"/>
  <fileRecoveryPr repairLoad="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8" i="1" l="1"/>
  <c r="I8" i="1"/>
  <c r="M6" i="10"/>
  <c r="I6" i="10"/>
  <c r="E6" i="10"/>
  <c r="A6" i="10"/>
  <c r="M6" i="9"/>
  <c r="I6" i="9"/>
  <c r="A6" i="9"/>
  <c r="M6" i="8"/>
  <c r="I6" i="8"/>
  <c r="E6" i="8"/>
  <c r="A6" i="8"/>
  <c r="E17" i="7"/>
  <c r="D17" i="7"/>
  <c r="C17" i="7"/>
  <c r="E16" i="7"/>
  <c r="D16" i="7"/>
  <c r="C16" i="7"/>
  <c r="E15" i="7"/>
  <c r="D15" i="7"/>
  <c r="C15" i="7"/>
  <c r="E14" i="7"/>
  <c r="D14" i="7"/>
  <c r="C14" i="7"/>
  <c r="E13" i="7"/>
  <c r="D13" i="7"/>
  <c r="C13" i="7"/>
  <c r="I6" i="7"/>
  <c r="E6" i="7"/>
  <c r="A6" i="7"/>
  <c r="J45" i="6"/>
  <c r="B45" i="6"/>
  <c r="J44" i="6"/>
  <c r="B44" i="6"/>
  <c r="J43" i="6"/>
  <c r="B43" i="6"/>
  <c r="J42" i="6"/>
  <c r="B42" i="6"/>
  <c r="J41" i="6"/>
  <c r="B41" i="6"/>
  <c r="C34" i="6"/>
  <c r="M11" i="6"/>
  <c r="I11" i="6"/>
  <c r="E11" i="6"/>
  <c r="E6" i="6"/>
  <c r="A6" i="6"/>
  <c r="H100" i="3"/>
  <c r="F100" i="3"/>
  <c r="G100" i="3" s="1"/>
  <c r="H99" i="3"/>
  <c r="F99" i="3"/>
  <c r="G99" i="3" s="1"/>
  <c r="H98" i="3"/>
  <c r="F98" i="3"/>
  <c r="G98" i="3" s="1"/>
  <c r="H97" i="3"/>
  <c r="F97" i="3"/>
  <c r="G97" i="3" s="1"/>
  <c r="H96" i="3"/>
  <c r="F96" i="3"/>
  <c r="G96" i="3" s="1"/>
  <c r="H95" i="3"/>
  <c r="F95" i="3"/>
  <c r="G95" i="3" s="1"/>
  <c r="H94" i="3"/>
  <c r="F94" i="3"/>
  <c r="G94" i="3" s="1"/>
  <c r="H93" i="3"/>
  <c r="F93" i="3"/>
  <c r="G93" i="3" s="1"/>
  <c r="H92" i="3"/>
  <c r="F92" i="3"/>
  <c r="G92" i="3" s="1"/>
  <c r="H91" i="3"/>
  <c r="F91" i="3"/>
  <c r="G91" i="3" s="1"/>
  <c r="H90" i="3"/>
  <c r="F90" i="3"/>
  <c r="G90" i="3" s="1"/>
  <c r="H89" i="3"/>
  <c r="F89" i="3"/>
  <c r="G89" i="3" s="1"/>
  <c r="H88" i="3"/>
  <c r="F88" i="3"/>
  <c r="G88" i="3" s="1"/>
  <c r="H87" i="3"/>
  <c r="F87" i="3"/>
  <c r="G87" i="3" s="1"/>
  <c r="H86" i="3"/>
  <c r="F86" i="3"/>
  <c r="G86" i="3" s="1"/>
  <c r="H85" i="3"/>
  <c r="F85" i="3"/>
  <c r="G85" i="3" s="1"/>
  <c r="H84" i="3"/>
  <c r="F84" i="3"/>
  <c r="G84" i="3" s="1"/>
  <c r="H83" i="3"/>
  <c r="F83" i="3"/>
  <c r="G83" i="3" s="1"/>
  <c r="H82" i="3"/>
  <c r="F82" i="3"/>
  <c r="G82" i="3" s="1"/>
  <c r="H81" i="3"/>
  <c r="F81" i="3"/>
  <c r="G81" i="3" s="1"/>
  <c r="H80" i="3"/>
  <c r="F80" i="3"/>
  <c r="G80" i="3" s="1"/>
  <c r="H79" i="3"/>
  <c r="F79" i="3"/>
  <c r="G79" i="3" s="1"/>
  <c r="H78" i="3"/>
  <c r="F78" i="3"/>
  <c r="G78" i="3" s="1"/>
  <c r="H77" i="3"/>
  <c r="F77" i="3"/>
  <c r="G77" i="3" s="1"/>
  <c r="H76" i="3"/>
  <c r="F76" i="3"/>
  <c r="G76" i="3" s="1"/>
  <c r="H75" i="3"/>
  <c r="F75" i="3"/>
  <c r="G75" i="3" s="1"/>
  <c r="H74" i="3"/>
  <c r="F74" i="3"/>
  <c r="G74" i="3" s="1"/>
  <c r="H73" i="3"/>
  <c r="F73" i="3"/>
  <c r="G73" i="3" s="1"/>
  <c r="H72" i="3"/>
  <c r="F72" i="3"/>
  <c r="G72" i="3" s="1"/>
  <c r="H71" i="3"/>
  <c r="F71" i="3"/>
  <c r="G71" i="3" s="1"/>
  <c r="H70" i="3"/>
  <c r="F70" i="3"/>
  <c r="G70" i="3" s="1"/>
  <c r="H69" i="3"/>
  <c r="F69" i="3"/>
  <c r="G69" i="3" s="1"/>
  <c r="H68" i="3"/>
  <c r="F68" i="3"/>
  <c r="G68" i="3" s="1"/>
  <c r="H67" i="3"/>
  <c r="F67" i="3"/>
  <c r="G67" i="3" s="1"/>
  <c r="H66" i="3"/>
  <c r="F66" i="3"/>
  <c r="G66" i="3" s="1"/>
  <c r="H65" i="3"/>
  <c r="F65" i="3"/>
  <c r="G65" i="3" s="1"/>
  <c r="H64" i="3"/>
  <c r="F64" i="3"/>
  <c r="G64" i="3" s="1"/>
  <c r="H63" i="3"/>
  <c r="F63" i="3"/>
  <c r="G63" i="3" s="1"/>
  <c r="H62" i="3"/>
  <c r="F62" i="3"/>
  <c r="G62" i="3" s="1"/>
  <c r="H61" i="3"/>
  <c r="F61" i="3"/>
  <c r="G61" i="3" s="1"/>
  <c r="H60" i="3"/>
  <c r="F60" i="3"/>
  <c r="G60" i="3" s="1"/>
  <c r="H59" i="3"/>
  <c r="F59" i="3"/>
  <c r="G59" i="3" s="1"/>
  <c r="H58" i="3"/>
  <c r="F58" i="3"/>
  <c r="G58" i="3" s="1"/>
  <c r="H57" i="3"/>
  <c r="F57" i="3"/>
  <c r="G57" i="3" s="1"/>
  <c r="H56" i="3"/>
  <c r="F56" i="3"/>
  <c r="G56" i="3" s="1"/>
  <c r="H55" i="3"/>
  <c r="F55" i="3"/>
  <c r="G55" i="3" s="1"/>
  <c r="H54" i="3"/>
  <c r="F54" i="3"/>
  <c r="G54" i="3" s="1"/>
  <c r="H53" i="3"/>
  <c r="F53" i="3"/>
  <c r="G53" i="3" s="1"/>
  <c r="H52" i="3"/>
  <c r="F52" i="3"/>
  <c r="G52" i="3" s="1"/>
  <c r="H51" i="3"/>
  <c r="F51" i="3"/>
  <c r="G51" i="3" s="1"/>
  <c r="H50" i="3"/>
  <c r="F50" i="3"/>
  <c r="G50" i="3" s="1"/>
  <c r="H49" i="3"/>
  <c r="F49" i="3"/>
  <c r="G49" i="3" s="1"/>
  <c r="H48" i="3"/>
  <c r="F48" i="3"/>
  <c r="G48" i="3" s="1"/>
  <c r="H47" i="3"/>
  <c r="F47" i="3"/>
  <c r="G47" i="3" s="1"/>
  <c r="H46" i="3"/>
  <c r="F46" i="3"/>
  <c r="G46" i="3" s="1"/>
  <c r="H45" i="3"/>
  <c r="F45" i="3"/>
  <c r="G45" i="3" s="1"/>
  <c r="H44" i="3"/>
  <c r="F44" i="3"/>
  <c r="G44" i="3" s="1"/>
  <c r="H43" i="3"/>
  <c r="F43" i="3"/>
  <c r="G43" i="3" s="1"/>
  <c r="H42" i="3"/>
  <c r="F42" i="3"/>
  <c r="G42" i="3" s="1"/>
  <c r="H41" i="3"/>
  <c r="F41" i="3"/>
  <c r="G41" i="3" s="1"/>
  <c r="H40" i="3"/>
  <c r="F40" i="3"/>
  <c r="G40" i="3" s="1"/>
  <c r="H39" i="3"/>
  <c r="F39" i="3"/>
  <c r="G39" i="3" s="1"/>
  <c r="H38" i="3"/>
  <c r="F38" i="3"/>
  <c r="G38" i="3" s="1"/>
  <c r="H37" i="3"/>
  <c r="F37" i="3"/>
  <c r="G37" i="3" s="1"/>
  <c r="H36" i="3"/>
  <c r="F36" i="3"/>
  <c r="G36" i="3" s="1"/>
  <c r="H35" i="3"/>
  <c r="F35" i="3"/>
  <c r="G35" i="3" s="1"/>
  <c r="H34" i="3"/>
  <c r="F34" i="3"/>
  <c r="G34" i="3" s="1"/>
  <c r="H33" i="3"/>
  <c r="F33" i="3"/>
  <c r="G33" i="3" s="1"/>
  <c r="H32" i="3"/>
  <c r="F32" i="3"/>
  <c r="G32" i="3" s="1"/>
  <c r="H31" i="3"/>
  <c r="F31" i="3"/>
  <c r="G31" i="3" s="1"/>
  <c r="H30" i="3"/>
  <c r="F30" i="3"/>
  <c r="G30" i="3" s="1"/>
  <c r="H29" i="3"/>
  <c r="F29" i="3"/>
  <c r="G29" i="3" s="1"/>
  <c r="H28" i="3"/>
  <c r="F28" i="3"/>
  <c r="G28" i="3" s="1"/>
  <c r="H27" i="3"/>
  <c r="F27" i="3"/>
  <c r="G27" i="3" s="1"/>
  <c r="H26" i="3"/>
  <c r="F26" i="3"/>
  <c r="G26" i="3" s="1"/>
  <c r="H25" i="3"/>
  <c r="F25" i="3"/>
  <c r="G25" i="3" s="1"/>
  <c r="H24" i="3"/>
  <c r="F24" i="3"/>
  <c r="G24" i="3" s="1"/>
  <c r="H23" i="3"/>
  <c r="F23" i="3"/>
  <c r="G23" i="3" s="1"/>
  <c r="H22" i="3"/>
  <c r="F22" i="3"/>
  <c r="G22" i="3" s="1"/>
  <c r="H21" i="3"/>
  <c r="F21" i="3"/>
  <c r="G21" i="3" s="1"/>
  <c r="H20" i="3"/>
  <c r="F20" i="3"/>
  <c r="G20" i="3" s="1"/>
  <c r="H19" i="3"/>
  <c r="F19" i="3"/>
  <c r="G19" i="3" s="1"/>
  <c r="H18" i="3"/>
  <c r="F18" i="3"/>
  <c r="G18" i="3" s="1"/>
  <c r="H17" i="3"/>
  <c r="F17" i="3"/>
  <c r="G17" i="3" s="1"/>
  <c r="H16" i="3"/>
  <c r="F16" i="3"/>
  <c r="G16" i="3" s="1"/>
  <c r="H15" i="3"/>
  <c r="F15" i="3"/>
  <c r="G15" i="3" s="1"/>
  <c r="H14" i="3"/>
  <c r="F14" i="3"/>
  <c r="G14" i="3" s="1"/>
  <c r="H13" i="3"/>
  <c r="F13" i="3"/>
  <c r="G13" i="3" s="1"/>
  <c r="H12" i="3"/>
  <c r="F12" i="3"/>
  <c r="G12" i="3" s="1"/>
  <c r="H11" i="3"/>
  <c r="F11" i="3"/>
  <c r="G11" i="3" s="1"/>
  <c r="H10" i="3"/>
  <c r="F10" i="3"/>
  <c r="G10" i="3" s="1"/>
  <c r="H9" i="3"/>
  <c r="F9" i="3"/>
  <c r="G9" i="3" s="1"/>
  <c r="H8" i="3"/>
  <c r="F8" i="3"/>
  <c r="G8" i="3" s="1"/>
  <c r="H7" i="3"/>
  <c r="F7" i="3"/>
  <c r="G7" i="3" s="1"/>
  <c r="H6" i="3"/>
  <c r="H17" i="7" s="1"/>
  <c r="F6" i="3"/>
  <c r="H5" i="3"/>
  <c r="H16" i="7" s="1"/>
  <c r="F5" i="3"/>
  <c r="H4" i="3"/>
  <c r="H15" i="7" s="1"/>
  <c r="F4" i="3"/>
  <c r="H3" i="3"/>
  <c r="H14" i="7" s="1"/>
  <c r="F3" i="3"/>
  <c r="H2" i="3"/>
  <c r="F2" i="3"/>
  <c r="I2" i="2"/>
  <c r="H2" i="2"/>
  <c r="I7" i="1"/>
  <c r="H7" i="1"/>
  <c r="I6" i="1"/>
  <c r="H6" i="1"/>
  <c r="I5" i="1"/>
  <c r="H5" i="1"/>
  <c r="I4" i="1"/>
  <c r="H4" i="1"/>
  <c r="I3" i="1"/>
  <c r="H3" i="1"/>
  <c r="I2" i="1"/>
  <c r="H2" i="1"/>
  <c r="G6" i="3" l="1"/>
  <c r="F17" i="7"/>
  <c r="G17" i="7" s="1"/>
  <c r="C45" i="6"/>
  <c r="F16" i="7"/>
  <c r="G16" i="7" s="1"/>
  <c r="G5" i="3"/>
  <c r="C44" i="6"/>
  <c r="F15" i="7"/>
  <c r="G15" i="7" s="1"/>
  <c r="G4" i="3"/>
  <c r="C43" i="6"/>
  <c r="G3" i="3"/>
  <c r="C42" i="6"/>
  <c r="F14" i="7"/>
  <c r="G14" i="7" s="1"/>
  <c r="A11" i="6"/>
  <c r="H13" i="7"/>
  <c r="M6" i="7"/>
  <c r="F13" i="7"/>
  <c r="G13" i="7" s="1"/>
  <c r="G2" i="3"/>
  <c r="M6" i="6"/>
  <c r="I6" i="6"/>
  <c r="C35" i="6"/>
  <c r="C41" i="6"/>
  <c r="C33" i="6"/>
  <c r="E6" i="9"/>
</calcChain>
</file>

<file path=xl/sharedStrings.xml><?xml version="1.0" encoding="utf-8"?>
<sst xmlns="http://schemas.openxmlformats.org/spreadsheetml/2006/main" count="344" uniqueCount="150">
  <si>
    <t>Booking Date</t>
  </si>
  <si>
    <t>Customer</t>
  </si>
  <si>
    <t>Mode</t>
  </si>
  <si>
    <t>Booking Qty</t>
  </si>
  <si>
    <t>Processing Time (Min)</t>
  </si>
  <si>
    <t>Status</t>
  </si>
  <si>
    <t>System Issue</t>
  </si>
  <si>
    <t>Week</t>
  </si>
  <si>
    <t>Month</t>
  </si>
  <si>
    <t>PIC</t>
  </si>
  <si>
    <t>Remark</t>
  </si>
  <si>
    <t>SDVN</t>
  </si>
  <si>
    <t>Sea</t>
  </si>
  <si>
    <t>Normal</t>
  </si>
  <si>
    <t>No</t>
  </si>
  <si>
    <t>Ngọc</t>
  </si>
  <si>
    <t>Air</t>
  </si>
  <si>
    <t>Slow</t>
  </si>
  <si>
    <t>Yes</t>
  </si>
  <si>
    <t>Hệ thống phản hồi chậm</t>
  </si>
  <si>
    <t>NGSDVN</t>
  </si>
  <si>
    <t>Submit Date</t>
  </si>
  <si>
    <t>SI Qty</t>
  </si>
  <si>
    <t>SUMIDENSO VIET NAM.CO.,LTD</t>
  </si>
  <si>
    <t>Active</t>
  </si>
  <si>
    <t>NGHIA AN BRANCH - SUMIDENSO VIETNAM CO LTD</t>
  </si>
  <si>
    <t>IKKA TECHNOLOGY VIETNAM CO.,LTD</t>
  </si>
  <si>
    <t>IKKA</t>
  </si>
  <si>
    <t>TAISHODO VIETNAM COMPANY LIMITED</t>
  </si>
  <si>
    <t>TAISHODO</t>
  </si>
  <si>
    <t>SUMIDEN VIETNAM AUTOMOTIVE WIRE LTD., CO</t>
  </si>
  <si>
    <t>SVAW</t>
  </si>
  <si>
    <t>Issue ID</t>
  </si>
  <si>
    <t>Module</t>
  </si>
  <si>
    <t>Issue</t>
  </si>
  <si>
    <t>Impact</t>
  </si>
  <si>
    <t>Suggestion</t>
  </si>
  <si>
    <t>IS001</t>
  </si>
  <si>
    <t>Booking Tracking</t>
  </si>
  <si>
    <t>Chỉ có thể tra cứu bằng YVF Booking No., chưa hỗ trợ Carrier Booking No.</t>
  </si>
  <si>
    <t>Tăng thời gian thao tác khi tra cứu lô hàng</t>
  </si>
  <si>
    <t>Cho phép tra cứu bằng cả Carrier Booking No. và YVF Booking No.</t>
  </si>
  <si>
    <t>IS002</t>
  </si>
  <si>
    <t>Submit SI</t>
  </si>
  <si>
    <t>Tại màn hình Submit SI, trường Total Volume hiện đang yêu cầu nhập Gross Weight (GRW).</t>
  </si>
  <si>
    <t>Tăng nguy cơ nhập sai dữ liệu</t>
  </si>
  <si>
    <t>Đổi tên trường chính xác Volume (CBM)</t>
  </si>
  <si>
    <t>IS003</t>
  </si>
  <si>
    <t>VGM</t>
  </si>
  <si>
    <t>VGM vẫn phải submit thủ công qua email cho OFF PIC.</t>
  </si>
  <si>
    <t>Tăng thao tác thủ công và rủi ro bỏ sót</t>
  </si>
  <si>
    <t>Bổ sung chức năng Submit VGM trực tiếp trên YVF.</t>
  </si>
  <si>
    <t>Feedback ID</t>
  </si>
  <si>
    <t>Category</t>
  </si>
  <si>
    <t>Feedback</t>
  </si>
  <si>
    <t>Type</t>
  </si>
  <si>
    <t>Source</t>
  </si>
  <si>
    <t>FB001</t>
  </si>
  <si>
    <t>Booking</t>
  </si>
  <si>
    <t>Thao tác tạo Template nhanh, thuận tiện và dễ sử dụng.</t>
  </si>
  <si>
    <t>Positive</t>
  </si>
  <si>
    <t>FB002</t>
  </si>
  <si>
    <t>Usability</t>
  </si>
  <si>
    <t>Giao diện đơn giản, người dùng dễ làm quen.</t>
  </si>
  <si>
    <t>FB003</t>
  </si>
  <si>
    <t>Usability / Performance</t>
  </si>
  <si>
    <t>Từ ngày 22/7, hiệu năng hệ thống giảm rõ rệt. Thời gian tạo Booking Request kéo dài và hệ thống thường xuyên bị đơ trong quá trình thao tác.</t>
  </si>
  <si>
    <t>Negative</t>
  </si>
  <si>
    <t>Customer Code</t>
  </si>
  <si>
    <t>Start Using YVF</t>
  </si>
  <si>
    <t>Target Booking/Year</t>
  </si>
  <si>
    <t>Actual Booking YTD</t>
  </si>
  <si>
    <t>Achievement %</t>
  </si>
  <si>
    <t>Actual This Month</t>
  </si>
  <si>
    <t>YVF Adoption Dashboard – CS HAD</t>
  </si>
  <si>
    <t>Management overview | Priority KPIs first | No company logo</t>
  </si>
  <si>
    <t>ACTIVE CUSTOMERS</t>
  </si>
  <si>
    <t>ADOPTION RATE</t>
  </si>
  <si>
    <t>BOOKING ACTUAL YTD</t>
  </si>
  <si>
    <t>TARGET ACHIEVEMENT</t>
  </si>
  <si>
    <t>BOOKING THIS MONTH</t>
  </si>
  <si>
    <t>AVG. PROCESSING TIME</t>
  </si>
  <si>
    <t>USER ISSUE REPORTS</t>
  </si>
  <si>
    <t>ENHANCEMENT REQUESTS</t>
  </si>
  <si>
    <t>ACTUAL VS. TARGET BY CUSTOMER</t>
  </si>
  <si>
    <t>BOOKING VOLUME BY CUSTOMER</t>
  </si>
  <si>
    <t>MANAGEMENT ATTENTION</t>
  </si>
  <si>
    <t>Priority</t>
  </si>
  <si>
    <t>Indicator</t>
  </si>
  <si>
    <t>Current Result</t>
  </si>
  <si>
    <t>Management Interpretation</t>
  </si>
  <si>
    <t>1</t>
  </si>
  <si>
    <t>Target achievement</t>
  </si>
  <si>
    <t>Low achievement requires review of annual target and customer rollout pace.</t>
  </si>
  <si>
    <t>2</t>
  </si>
  <si>
    <t>System performance</t>
  </si>
  <si>
    <t>Repeated slow-response reports are affecting booking processing time.</t>
  </si>
  <si>
    <t>3</t>
  </si>
  <si>
    <t>Inactive / no-volume customers</t>
  </si>
  <si>
    <t>Active status exists, but several customers have no recorded YVF bookings.</t>
  </si>
  <si>
    <t>Target</t>
  </si>
  <si>
    <t>Actual YTD</t>
  </si>
  <si>
    <t>Booking Volume</t>
  </si>
  <si>
    <t>Customer Adoption</t>
  </si>
  <si>
    <t>Customer activation, annual target progress and rollout status</t>
  </si>
  <si>
    <t>TOTAL CUSTOMERS</t>
  </si>
  <si>
    <t>YEAR TARGET</t>
  </si>
  <si>
    <t>ACTUAL YTD</t>
  </si>
  <si>
    <t>CUSTOMER ADOPTION DETAIL</t>
  </si>
  <si>
    <t>Code</t>
  </si>
  <si>
    <t>Target/Year</t>
  </si>
  <si>
    <t>Achievement</t>
  </si>
  <si>
    <t>Booking Details</t>
  </si>
  <si>
    <t>Booking volume, customer contribution and processing performance</t>
  </si>
  <si>
    <t>TOTAL BOOKING VOLUME</t>
  </si>
  <si>
    <t>SEA BOOKING VOLUME</t>
  </si>
  <si>
    <t>AIR BOOKING VOLUME</t>
  </si>
  <si>
    <t>AVG. PROCESS TIME</t>
  </si>
  <si>
    <t>BOOKING DATA</t>
  </si>
  <si>
    <t>Jul-2026</t>
  </si>
  <si>
    <t>User Issues</t>
  </si>
  <si>
    <t>Issues reported by customers or CS during actual YVF usage</t>
  </si>
  <si>
    <t>ISSUE REPORTS</t>
  </si>
  <si>
    <t>AFFECTED CUSTOMERS</t>
  </si>
  <si>
    <t>AVG. TIME ON ISSUE ROWS</t>
  </si>
  <si>
    <t>NEGATIVE FEEDBACK</t>
  </si>
  <si>
    <t>ISSUE LOG FROM BOOKING / CUSTOMER FEEDBACK</t>
  </si>
  <si>
    <t>Date</t>
  </si>
  <si>
    <t>Reported By</t>
  </si>
  <si>
    <t>Issue Category</t>
  </si>
  <si>
    <t>Issue Description</t>
  </si>
  <si>
    <t>CS</t>
  </si>
  <si>
    <t>System Performance</t>
  </si>
  <si>
    <t>Booking processing delayed</t>
  </si>
  <si>
    <t>Open</t>
  </si>
  <si>
    <t>Hiệu năng hệ thống giảm rõ rệt từ ngày 22/7</t>
  </si>
  <si>
    <t>Longer processing time and freezing</t>
  </si>
  <si>
    <t>Enhancement Requests</t>
  </si>
  <si>
    <t>Enhancement requests submitted by customers or CS</t>
  </si>
  <si>
    <t>TOTAL REQUESTS</t>
  </si>
  <si>
    <t>BOOKING MODULE</t>
  </si>
  <si>
    <t>SI MODULE</t>
  </si>
  <si>
    <t>VGM MODULE</t>
  </si>
  <si>
    <t>ENHANCEMENT REQUEST REGISTER</t>
  </si>
  <si>
    <t>Request ID</t>
  </si>
  <si>
    <t>Current Limitation</t>
  </si>
  <si>
    <t>Business Impact</t>
  </si>
  <si>
    <t>Requested Enhancement</t>
  </si>
  <si>
    <t>Trường Total Volume hiện đang yêu cầu nhập Gross Weight (GRW).</t>
  </si>
  <si>
    <t>Linh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</si>
</sst>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8">
    <numFmt numFmtId="43" formatCode="_(* #,##0.00_);_(* \(#,##0.00\);_(* &quot;-&quot;??_);_(@_)"/>
    <numFmt numFmtId="164" formatCode="dd\-mmm"/>
    <numFmt numFmtId="165" formatCode="0.0"/>
    <numFmt numFmtId="166" formatCode="[$-409]d\-mmm\-yy;@"/>
    <numFmt numFmtId="167" formatCode="dd\-mmm\-yy"/>
    <numFmt numFmtId="168" formatCode="0.0%"/>
    <numFmt numFmtId="169" formatCode="0.0\ &quot;min&quot;"/>
    <numFmt numFmtId="171" formatCode="_(* #,##0_);_(* \(#,##0\);_(* &quot;-&quot;??_);_(@_)"/>
  </numFmts>
  <fonts count="15" x14ac:knownFonts="1">
    <font>
      <sz val="11"/>
      <color theme="1"/>
      <name val="Calibri"/>
    </font>
    <font>
      <sz val="10"/>
      <name val="Arial"/>
      <family val="2"/>
    </font>
    <font>
      <b/>
      <sz val="11"/>
      <color rgb="FFFFFFFF"/>
      <name val="Calibri"/>
      <family val="2"/>
    </font>
    <font>
      <b/>
      <sz val="11"/>
      <color rgb="FFFFFFFF"/>
      <name val="Calibri"/>
      <family val="2"/>
    </font>
    <font>
      <sz val="11"/>
      <color theme="1"/>
      <name val="Calibri"/>
      <family val="2"/>
    </font>
    <font>
      <b/>
      <sz val="20"/>
      <color rgb="FFFFFFFF"/>
      <name val="Aptos"/>
      <family val="2"/>
    </font>
    <font>
      <i/>
      <sz val="10"/>
      <color rgb="FF243447"/>
      <name val="Aptos"/>
      <family val="2"/>
    </font>
    <font>
      <sz val="11"/>
      <color theme="1"/>
      <name val="Aptos"/>
      <family val="2"/>
    </font>
    <font>
      <b/>
      <sz val="10"/>
      <color rgb="FF243447"/>
      <name val="Aptos"/>
      <family val="2"/>
    </font>
    <font>
      <b/>
      <sz val="22"/>
      <color rgb="FF17365D"/>
      <name val="Aptos"/>
      <family val="2"/>
    </font>
    <font>
      <b/>
      <sz val="11"/>
      <color rgb="FFFFFFFF"/>
      <name val="Aptos"/>
      <family val="2"/>
    </font>
    <font>
      <b/>
      <sz val="11"/>
      <color rgb="FF243447"/>
      <name val="Aptos"/>
      <family val="2"/>
    </font>
    <font>
      <b/>
      <sz val="11"/>
      <color rgb="FFC00000"/>
      <name val="Aptos"/>
      <family val="2"/>
    </font>
    <font>
      <sz val="1"/>
      <color rgb="FFFFFFFF"/>
      <name val="Aptos"/>
      <family val="2"/>
    </font>
    <font>
      <sz val="11"/>
      <color theme="1"/>
      <name val="Calibri"/>
    </font>
  </fonts>
  <fills count="17">
    <fill>
      <patternFill patternType="none"/>
    </fill>
    <fill>
      <patternFill patternType="gray125"/>
    </fill>
    <fill>
      <patternFill patternType="solid">
        <fgColor rgb="FFF47C20"/>
      </patternFill>
    </fill>
    <fill>
      <patternFill patternType="solid">
        <fgColor rgb="FFF47C20"/>
      </patternFill>
    </fill>
    <fill>
      <patternFill patternType="solid">
        <fgColor rgb="FFF57C00"/>
      </patternFill>
    </fill>
    <fill>
      <patternFill patternType="solid">
        <fgColor rgb="FFDDEBF7"/>
      </patternFill>
    </fill>
    <fill>
      <patternFill patternType="solid">
        <fgColor rgb="FF17365D"/>
      </patternFill>
    </fill>
    <fill>
      <patternFill patternType="solid">
        <fgColor rgb="FFEAF2F8"/>
      </patternFill>
    </fill>
    <fill>
      <patternFill patternType="solid">
        <fgColor rgb="FFD9EAF7"/>
      </patternFill>
    </fill>
    <fill>
      <patternFill patternType="solid">
        <fgColor rgb="FFE2F0D9"/>
      </patternFill>
    </fill>
    <fill>
      <patternFill patternType="solid">
        <fgColor rgb="FFFCE4D6"/>
      </patternFill>
    </fill>
    <fill>
      <patternFill patternType="solid">
        <fgColor rgb="FFFFF2CC"/>
      </patternFill>
    </fill>
    <fill>
      <patternFill patternType="solid">
        <fgColor rgb="FFFFFFFF"/>
      </patternFill>
    </fill>
    <fill>
      <patternFill patternType="solid">
        <fgColor rgb="FFF4CCCC"/>
      </patternFill>
    </fill>
    <fill>
      <patternFill patternType="solid">
        <fgColor rgb="FFE4DFEC"/>
      </patternFill>
    </fill>
    <fill>
      <patternFill patternType="solid">
        <fgColor rgb="FFD9E2F3"/>
      </patternFill>
    </fill>
    <fill>
      <patternFill patternType="solid">
        <fgColor rgb="FF2F75B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/>
      <diagonal/>
    </border>
    <border>
      <left style="thin">
        <color rgb="FF7F8C8D"/>
      </left>
      <right style="thin">
        <color indexed="64"/>
      </right>
      <top style="thin">
        <color rgb="FF7F8C8D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rgb="FF7F8C8D"/>
      </top>
      <bottom style="thin">
        <color indexed="64"/>
      </bottom>
      <diagonal/>
    </border>
    <border>
      <left/>
      <right/>
      <top style="thin">
        <color rgb="FF7F8C8D"/>
      </top>
      <bottom/>
      <diagonal/>
    </border>
    <border>
      <left/>
      <right style="thin">
        <color rgb="FF7F8C8D"/>
      </right>
      <top style="thin">
        <color rgb="FF7F8C8D"/>
      </top>
      <bottom/>
      <diagonal/>
    </border>
    <border>
      <left style="thin">
        <color rgb="FF7F8C8D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7F8C8D"/>
      </right>
      <top/>
      <bottom/>
      <diagonal/>
    </border>
    <border>
      <left style="thin">
        <color rgb="FF7F8C8D"/>
      </left>
      <right/>
      <top/>
      <bottom/>
      <diagonal/>
    </border>
    <border>
      <left style="thin">
        <color rgb="FF7F8C8D"/>
      </left>
      <right/>
      <top/>
      <bottom style="thin">
        <color rgb="FF7F8C8D"/>
      </bottom>
      <diagonal/>
    </border>
    <border>
      <left/>
      <right/>
      <top/>
      <bottom style="thin">
        <color rgb="FF7F8C8D"/>
      </bottom>
      <diagonal/>
    </border>
    <border>
      <left/>
      <right style="thin">
        <color rgb="FF7F8C8D"/>
      </right>
      <top/>
      <bottom style="thin">
        <color rgb="FF7F8C8D"/>
      </bottom>
      <diagonal/>
    </border>
    <border>
      <left/>
      <right/>
      <top/>
      <bottom style="thin">
        <color rgb="FFB4C6E7"/>
      </bottom>
      <diagonal/>
    </border>
    <border>
      <left style="thin">
        <color rgb="FFC9D2E3"/>
      </left>
      <right/>
      <top style="thin">
        <color rgb="FFC9D2E3"/>
      </top>
      <bottom/>
      <diagonal/>
    </border>
    <border>
      <left/>
      <right/>
      <top style="thin">
        <color rgb="FFC9D2E3"/>
      </top>
      <bottom/>
      <diagonal/>
    </border>
    <border>
      <left/>
      <right style="thin">
        <color rgb="FFC9D2E3"/>
      </right>
      <top style="thin">
        <color rgb="FFC9D2E3"/>
      </top>
      <bottom/>
      <diagonal/>
    </border>
    <border>
      <left style="thin">
        <color rgb="FFC9D2E3"/>
      </left>
      <right/>
      <top/>
      <bottom/>
      <diagonal/>
    </border>
    <border>
      <left/>
      <right style="thin">
        <color rgb="FFC9D2E3"/>
      </right>
      <top/>
      <bottom/>
      <diagonal/>
    </border>
    <border>
      <left style="thin">
        <color rgb="FFC9D2E3"/>
      </left>
      <right/>
      <top/>
      <bottom style="thin">
        <color rgb="FFC9D2E3"/>
      </bottom>
      <diagonal/>
    </border>
    <border>
      <left/>
      <right/>
      <top/>
      <bottom style="thin">
        <color rgb="FFC9D2E3"/>
      </bottom>
      <diagonal/>
    </border>
    <border>
      <left/>
      <right style="thin">
        <color rgb="FFC9D2E3"/>
      </right>
      <top/>
      <bottom style="thin">
        <color rgb="FFC9D2E3"/>
      </bottom>
      <diagonal/>
    </border>
    <border>
      <left style="thin">
        <color rgb="FFD9D9D9"/>
      </left>
      <right/>
      <top style="thin">
        <color rgb="FFD9D9D9"/>
      </top>
      <bottom/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/>
      <right style="thin">
        <color rgb="FFD9D9D9"/>
      </right>
      <top/>
      <bottom/>
      <diagonal/>
    </border>
    <border>
      <left style="thin">
        <color rgb="FFD9D9D9"/>
      </left>
      <right/>
      <top/>
      <bottom style="thin">
        <color rgb="FFD9D9D9"/>
      </bottom>
      <diagonal/>
    </border>
    <border>
      <left/>
      <right/>
      <top/>
      <bottom style="thin">
        <color rgb="FFD9D9D9"/>
      </bottom>
      <diagonal/>
    </border>
    <border>
      <left/>
      <right style="thin">
        <color rgb="FFD9D9D9"/>
      </right>
      <top/>
      <bottom style="thin">
        <color rgb="FFD9D9D9"/>
      </bottom>
      <diagonal/>
    </border>
  </borders>
  <cellStyleXfs count="3">
    <xf numFmtId="0" fontId="0" fillId="0" borderId="2"/>
    <xf numFmtId="0" fontId="1" fillId="0" borderId="2"/>
    <xf numFmtId="43" fontId="14" fillId="0" borderId="0" applyFont="0" applyFill="0" applyBorder="0" applyAlignment="0" applyProtection="0"/>
  </cellStyleXfs>
  <cellXfs count="196">
    <xf numFmtId="0" fontId="0" fillId="0" borderId="0" xfId="0" applyBorder="1"/>
    <xf numFmtId="0" fontId="0" fillId="0" borderId="0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left" vertical="center" wrapText="1"/>
    </xf>
    <xf numFmtId="16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left" vertical="center" wrapText="1"/>
    </xf>
    <xf numFmtId="0" fontId="0" fillId="0" borderId="0" xfId="0" applyBorder="1" applyAlignment="1">
      <alignment horizontal="left" vertical="center"/>
    </xf>
    <xf numFmtId="164" fontId="0" fillId="0" borderId="1" xfId="0" applyNumberFormat="1" applyBorder="1" applyAlignment="1">
      <alignment horizontal="center" vertical="center" wrapText="1"/>
    </xf>
    <xf numFmtId="165" fontId="0" fillId="0" borderId="1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3" fillId="3" borderId="0" xfId="0" applyFont="1" applyFill="1" applyBorder="1" applyAlignment="1">
      <alignment horizontal="center" vertical="center" wrapText="1"/>
    </xf>
    <xf numFmtId="0" fontId="4" fillId="0" borderId="0" xfId="0" applyFont="1" applyBorder="1"/>
    <xf numFmtId="166" fontId="0" fillId="0" borderId="0" xfId="0" applyNumberFormat="1" applyBorder="1" applyAlignment="1">
      <alignment horizontal="center" vertical="center"/>
    </xf>
    <xf numFmtId="0" fontId="4" fillId="0" borderId="1" xfId="0" applyFont="1" applyBorder="1" applyAlignment="1">
      <alignment horizontal="center" vertical="center" wrapText="1"/>
    </xf>
    <xf numFmtId="0" fontId="2" fillId="4" borderId="1" xfId="0" applyFont="1" applyFill="1" applyBorder="1" applyAlignment="1">
      <alignment horizontal="center" vertical="center" wrapText="1"/>
    </xf>
    <xf numFmtId="166" fontId="2" fillId="4" borderId="1" xfId="0" applyNumberFormat="1" applyFont="1" applyFill="1" applyBorder="1" applyAlignment="1">
      <alignment horizontal="center" vertical="center" wrapText="1"/>
    </xf>
    <xf numFmtId="0" fontId="2" fillId="4" borderId="0" xfId="0" applyFont="1" applyFill="1" applyBorder="1" applyAlignment="1">
      <alignment horizontal="center" vertical="center" wrapText="1"/>
    </xf>
    <xf numFmtId="0" fontId="0" fillId="0" borderId="0" xfId="0" applyBorder="1" applyAlignment="1">
      <alignment vertical="center"/>
    </xf>
    <xf numFmtId="16" fontId="0" fillId="0" borderId="7" xfId="0" applyNumberFormat="1" applyBorder="1" applyAlignment="1">
      <alignment horizontal="center" vertical="center" wrapText="1"/>
    </xf>
    <xf numFmtId="0" fontId="0" fillId="0" borderId="9" xfId="0" applyBorder="1" applyAlignment="1">
      <alignment horizontal="center" vertical="center" wrapText="1"/>
    </xf>
    <xf numFmtId="0" fontId="0" fillId="0" borderId="9" xfId="0" applyBorder="1" applyAlignment="1">
      <alignment vertical="center"/>
    </xf>
    <xf numFmtId="0" fontId="0" fillId="0" borderId="10" xfId="0" applyBorder="1" applyAlignment="1">
      <alignment vertical="center"/>
    </xf>
    <xf numFmtId="0" fontId="0" fillId="0" borderId="11" xfId="0" applyBorder="1" applyAlignment="1">
      <alignment vertical="center"/>
    </xf>
    <xf numFmtId="16" fontId="0" fillId="5" borderId="3" xfId="0" applyNumberFormat="1" applyFill="1" applyBorder="1" applyAlignment="1">
      <alignment horizontal="center" vertical="center" wrapText="1"/>
    </xf>
    <xf numFmtId="0" fontId="0" fillId="5" borderId="4" xfId="0" applyFill="1" applyBorder="1" applyAlignment="1">
      <alignment horizontal="center" vertical="center" wrapText="1"/>
    </xf>
    <xf numFmtId="16" fontId="0" fillId="5" borderId="7" xfId="0" applyNumberFormat="1" applyFill="1" applyBorder="1" applyAlignment="1">
      <alignment horizontal="center" vertical="center" wrapText="1"/>
    </xf>
    <xf numFmtId="0" fontId="0" fillId="5" borderId="1" xfId="0" applyFill="1" applyBorder="1" applyAlignment="1">
      <alignment horizontal="center" vertical="center" wrapText="1"/>
    </xf>
    <xf numFmtId="167" fontId="0" fillId="5" borderId="4" xfId="0" applyNumberFormat="1" applyFill="1" applyBorder="1" applyAlignment="1">
      <alignment horizontal="center" vertical="center" wrapText="1"/>
    </xf>
    <xf numFmtId="167" fontId="0" fillId="0" borderId="1" xfId="0" applyNumberFormat="1" applyBorder="1" applyAlignment="1">
      <alignment horizontal="center" vertical="center" wrapText="1"/>
    </xf>
    <xf numFmtId="167" fontId="0" fillId="5" borderId="1" xfId="0" applyNumberFormat="1" applyFill="1" applyBorder="1" applyAlignment="1">
      <alignment horizontal="center" vertical="center" wrapText="1"/>
    </xf>
    <xf numFmtId="167" fontId="0" fillId="0" borderId="0" xfId="0" applyNumberFormat="1" applyBorder="1" applyAlignment="1">
      <alignment horizontal="center" vertical="center" wrapText="1"/>
    </xf>
    <xf numFmtId="167" fontId="0" fillId="0" borderId="0" xfId="0" applyNumberFormat="1" applyBorder="1" applyAlignment="1">
      <alignment vertical="center"/>
    </xf>
    <xf numFmtId="167" fontId="0" fillId="0" borderId="11" xfId="0" applyNumberFormat="1" applyBorder="1" applyAlignment="1">
      <alignment vertical="center"/>
    </xf>
    <xf numFmtId="1" fontId="0" fillId="5" borderId="4" xfId="0" applyNumberFormat="1" applyFill="1" applyBorder="1" applyAlignment="1">
      <alignment horizontal="center" vertical="center" wrapText="1"/>
    </xf>
    <xf numFmtId="1" fontId="0" fillId="0" borderId="1" xfId="0" applyNumberFormat="1" applyBorder="1" applyAlignment="1">
      <alignment horizontal="center" vertical="center" wrapText="1"/>
    </xf>
    <xf numFmtId="1" fontId="0" fillId="5" borderId="1" xfId="0" applyNumberFormat="1" applyFill="1" applyBorder="1" applyAlignment="1">
      <alignment horizontal="center" vertical="center" wrapText="1"/>
    </xf>
    <xf numFmtId="1" fontId="0" fillId="0" borderId="0" xfId="0" applyNumberFormat="1" applyBorder="1" applyAlignment="1">
      <alignment horizontal="left" vertical="center" wrapText="1"/>
    </xf>
    <xf numFmtId="1" fontId="0" fillId="0" borderId="0" xfId="0" applyNumberFormat="1" applyBorder="1" applyAlignment="1">
      <alignment horizontal="center" vertical="center" wrapText="1"/>
    </xf>
    <xf numFmtId="1" fontId="0" fillId="0" borderId="0" xfId="0" applyNumberFormat="1" applyBorder="1" applyAlignment="1">
      <alignment vertical="center"/>
    </xf>
    <xf numFmtId="1" fontId="0" fillId="0" borderId="11" xfId="0" applyNumberFormat="1" applyBorder="1" applyAlignment="1">
      <alignment vertical="center"/>
    </xf>
    <xf numFmtId="1" fontId="0" fillId="5" borderId="6" xfId="0" applyNumberFormat="1" applyFill="1" applyBorder="1" applyAlignment="1">
      <alignment vertical="center"/>
    </xf>
    <xf numFmtId="1" fontId="0" fillId="0" borderId="8" xfId="0" applyNumberFormat="1" applyBorder="1" applyAlignment="1">
      <alignment vertical="center"/>
    </xf>
    <xf numFmtId="1" fontId="0" fillId="5" borderId="8" xfId="0" applyNumberFormat="1" applyFill="1" applyBorder="1" applyAlignment="1">
      <alignment vertical="center"/>
    </xf>
    <xf numFmtId="1" fontId="0" fillId="0" borderId="12" xfId="0" applyNumberFormat="1" applyBorder="1" applyAlignment="1">
      <alignment vertical="center"/>
    </xf>
    <xf numFmtId="168" fontId="0" fillId="5" borderId="5" xfId="0" applyNumberFormat="1" applyFill="1" applyBorder="1" applyAlignment="1">
      <alignment vertical="center"/>
    </xf>
    <xf numFmtId="168" fontId="0" fillId="0" borderId="0" xfId="0" applyNumberFormat="1" applyBorder="1" applyAlignment="1">
      <alignment vertical="center"/>
    </xf>
    <xf numFmtId="168" fontId="0" fillId="5" borderId="0" xfId="0" applyNumberFormat="1" applyFill="1" applyBorder="1" applyAlignment="1">
      <alignment vertical="center"/>
    </xf>
    <xf numFmtId="168" fontId="0" fillId="0" borderId="11" xfId="0" applyNumberFormat="1" applyBorder="1" applyAlignment="1">
      <alignment vertical="center"/>
    </xf>
    <xf numFmtId="0" fontId="11" fillId="15" borderId="0" xfId="0" applyFont="1" applyFill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12" fillId="11" borderId="22" xfId="0" applyFont="1" applyFill="1" applyBorder="1" applyAlignment="1">
      <alignment vertical="center" wrapText="1"/>
    </xf>
    <xf numFmtId="0" fontId="11" fillId="11" borderId="23" xfId="0" applyFont="1" applyFill="1" applyBorder="1" applyAlignment="1">
      <alignment vertical="center" wrapText="1"/>
    </xf>
    <xf numFmtId="168" fontId="7" fillId="11" borderId="23" xfId="0" applyNumberFormat="1" applyFont="1" applyFill="1" applyBorder="1" applyAlignment="1">
      <alignment vertical="center" wrapText="1"/>
    </xf>
    <xf numFmtId="0" fontId="12" fillId="10" borderId="25" xfId="0" applyFont="1" applyFill="1" applyBorder="1" applyAlignment="1">
      <alignment vertical="center" wrapText="1"/>
    </xf>
    <xf numFmtId="0" fontId="11" fillId="10" borderId="0" xfId="0" applyFont="1" applyFill="1" applyBorder="1" applyAlignment="1">
      <alignment vertical="center" wrapText="1"/>
    </xf>
    <xf numFmtId="0" fontId="7" fillId="10" borderId="0" xfId="0" applyFont="1" applyFill="1" applyBorder="1" applyAlignment="1">
      <alignment vertical="center" wrapText="1"/>
    </xf>
    <xf numFmtId="0" fontId="12" fillId="7" borderId="27" xfId="0" applyFont="1" applyFill="1" applyBorder="1" applyAlignment="1">
      <alignment vertical="center" wrapText="1"/>
    </xf>
    <xf numFmtId="0" fontId="11" fillId="7" borderId="28" xfId="0" applyFont="1" applyFill="1" applyBorder="1" applyAlignment="1">
      <alignment vertical="center" wrapText="1"/>
    </xf>
    <xf numFmtId="0" fontId="7" fillId="7" borderId="28" xfId="0" applyFont="1" applyFill="1" applyBorder="1" applyAlignment="1">
      <alignment vertical="center" wrapText="1"/>
    </xf>
    <xf numFmtId="0" fontId="13" fillId="0" borderId="0" xfId="0" applyFont="1" applyBorder="1" applyAlignment="1">
      <alignment vertical="center"/>
    </xf>
    <xf numFmtId="0" fontId="10" fillId="16" borderId="0" xfId="0" applyFont="1" applyFill="1" applyBorder="1" applyAlignment="1">
      <alignment horizontal="center" vertical="center"/>
    </xf>
    <xf numFmtId="0" fontId="7" fillId="0" borderId="22" xfId="0" applyFont="1" applyBorder="1" applyAlignment="1">
      <alignment vertical="center"/>
    </xf>
    <xf numFmtId="0" fontId="7" fillId="0" borderId="23" xfId="0" applyFont="1" applyBorder="1" applyAlignment="1">
      <alignment vertical="center"/>
    </xf>
    <xf numFmtId="167" fontId="7" fillId="0" borderId="23" xfId="0" applyNumberFormat="1" applyFont="1" applyBorder="1" applyAlignment="1">
      <alignment vertical="center"/>
    </xf>
    <xf numFmtId="168" fontId="7" fillId="0" borderId="23" xfId="0" applyNumberFormat="1" applyFont="1" applyBorder="1" applyAlignment="1">
      <alignment vertical="center"/>
    </xf>
    <xf numFmtId="0" fontId="7" fillId="0" borderId="24" xfId="0" applyFont="1" applyBorder="1" applyAlignment="1">
      <alignment vertical="center"/>
    </xf>
    <xf numFmtId="0" fontId="7" fillId="0" borderId="25" xfId="0" applyFont="1" applyBorder="1" applyAlignment="1">
      <alignment vertical="center"/>
    </xf>
    <xf numFmtId="167" fontId="7" fillId="0" borderId="0" xfId="0" applyNumberFormat="1" applyFont="1" applyBorder="1" applyAlignment="1">
      <alignment vertical="center"/>
    </xf>
    <xf numFmtId="168" fontId="7" fillId="0" borderId="0" xfId="0" applyNumberFormat="1" applyFont="1" applyBorder="1" applyAlignment="1">
      <alignment vertical="center"/>
    </xf>
    <xf numFmtId="0" fontId="7" fillId="0" borderId="26" xfId="0" applyFont="1" applyBorder="1" applyAlignment="1">
      <alignment vertical="center"/>
    </xf>
    <xf numFmtId="0" fontId="7" fillId="0" borderId="27" xfId="0" applyFont="1" applyBorder="1" applyAlignment="1">
      <alignment vertical="center"/>
    </xf>
    <xf numFmtId="0" fontId="7" fillId="0" borderId="28" xfId="0" applyFont="1" applyBorder="1" applyAlignment="1">
      <alignment vertical="center"/>
    </xf>
    <xf numFmtId="167" fontId="7" fillId="0" borderId="28" xfId="0" applyNumberFormat="1" applyFont="1" applyBorder="1" applyAlignment="1">
      <alignment vertical="center"/>
    </xf>
    <xf numFmtId="168" fontId="7" fillId="0" borderId="28" xfId="0" applyNumberFormat="1" applyFont="1" applyBorder="1" applyAlignment="1">
      <alignment vertical="center"/>
    </xf>
    <xf numFmtId="0" fontId="7" fillId="0" borderId="29" xfId="0" applyFont="1" applyBorder="1" applyAlignment="1">
      <alignment vertical="center"/>
    </xf>
    <xf numFmtId="0" fontId="10" fillId="16" borderId="22" xfId="0" applyFont="1" applyFill="1" applyBorder="1" applyAlignment="1">
      <alignment horizontal="center" vertical="center"/>
    </xf>
    <xf numFmtId="0" fontId="10" fillId="16" borderId="23" xfId="0" applyFont="1" applyFill="1" applyBorder="1" applyAlignment="1">
      <alignment horizontal="center" vertical="center"/>
    </xf>
    <xf numFmtId="0" fontId="10" fillId="16" borderId="24" xfId="0" applyFont="1" applyFill="1" applyBorder="1" applyAlignment="1">
      <alignment horizontal="center" vertical="center"/>
    </xf>
    <xf numFmtId="167" fontId="7" fillId="0" borderId="25" xfId="0" applyNumberFormat="1" applyFont="1" applyBorder="1" applyAlignment="1">
      <alignment vertical="center"/>
    </xf>
    <xf numFmtId="0" fontId="7" fillId="0" borderId="26" xfId="0" applyFont="1" applyBorder="1" applyAlignment="1">
      <alignment vertical="center" wrapText="1"/>
    </xf>
    <xf numFmtId="167" fontId="7" fillId="0" borderId="27" xfId="0" applyNumberFormat="1" applyFont="1" applyBorder="1" applyAlignment="1">
      <alignment vertical="center"/>
    </xf>
    <xf numFmtId="0" fontId="7" fillId="0" borderId="29" xfId="0" applyFont="1" applyBorder="1" applyAlignment="1">
      <alignment vertical="center" wrapText="1"/>
    </xf>
    <xf numFmtId="0" fontId="10" fillId="16" borderId="22" xfId="0" applyFont="1" applyFill="1" applyBorder="1" applyAlignment="1">
      <alignment horizontal="center" vertical="center" wrapText="1"/>
    </xf>
    <xf numFmtId="0" fontId="10" fillId="16" borderId="23" xfId="0" applyFont="1" applyFill="1" applyBorder="1" applyAlignment="1">
      <alignment horizontal="center" vertical="center" wrapText="1"/>
    </xf>
    <xf numFmtId="0" fontId="10" fillId="16" borderId="24" xfId="0" applyFont="1" applyFill="1" applyBorder="1" applyAlignment="1">
      <alignment horizontal="center" vertical="center" wrapText="1"/>
    </xf>
    <xf numFmtId="167" fontId="7" fillId="0" borderId="25" xfId="0" applyNumberFormat="1" applyFont="1" applyBorder="1" applyAlignment="1">
      <alignment vertical="center" wrapText="1"/>
    </xf>
    <xf numFmtId="0" fontId="7" fillId="0" borderId="0" xfId="0" applyFont="1" applyBorder="1" applyAlignment="1">
      <alignment vertical="center" wrapText="1"/>
    </xf>
    <xf numFmtId="167" fontId="7" fillId="0" borderId="27" xfId="0" applyNumberFormat="1" applyFont="1" applyBorder="1" applyAlignment="1">
      <alignment vertical="center" wrapText="1"/>
    </xf>
    <xf numFmtId="0" fontId="7" fillId="0" borderId="28" xfId="0" applyFont="1" applyBorder="1" applyAlignment="1">
      <alignment vertical="center" wrapText="1"/>
    </xf>
    <xf numFmtId="0" fontId="7" fillId="0" borderId="25" xfId="0" applyFont="1" applyBorder="1" applyAlignment="1">
      <alignment vertical="center" wrapText="1"/>
    </xf>
    <xf numFmtId="0" fontId="7" fillId="0" borderId="27" xfId="0" applyFont="1" applyBorder="1" applyAlignment="1">
      <alignment vertical="center" wrapText="1"/>
    </xf>
    <xf numFmtId="16" fontId="0" fillId="0" borderId="0" xfId="0" applyNumberFormat="1" applyBorder="1" applyAlignment="1">
      <alignment horizontal="center" vertical="center" wrapText="1"/>
    </xf>
    <xf numFmtId="0" fontId="11" fillId="15" borderId="0" xfId="0" applyFont="1" applyFill="1" applyBorder="1" applyAlignment="1">
      <alignment horizontal="center" vertical="center"/>
    </xf>
    <xf numFmtId="0" fontId="7" fillId="11" borderId="23" xfId="0" applyFont="1" applyFill="1" applyBorder="1" applyAlignment="1">
      <alignment vertical="center" wrapText="1"/>
    </xf>
    <xf numFmtId="0" fontId="7" fillId="11" borderId="24" xfId="0" applyFont="1" applyFill="1" applyBorder="1" applyAlignment="1">
      <alignment vertical="center" wrapText="1"/>
    </xf>
    <xf numFmtId="0" fontId="7" fillId="10" borderId="0" xfId="0" applyFont="1" applyFill="1" applyBorder="1" applyAlignment="1">
      <alignment vertical="center" wrapText="1"/>
    </xf>
    <xf numFmtId="0" fontId="7" fillId="10" borderId="26" xfId="0" applyFont="1" applyFill="1" applyBorder="1" applyAlignment="1">
      <alignment vertical="center" wrapText="1"/>
    </xf>
    <xf numFmtId="0" fontId="7" fillId="7" borderId="28" xfId="0" applyFont="1" applyFill="1" applyBorder="1" applyAlignment="1">
      <alignment vertical="center" wrapText="1"/>
    </xf>
    <xf numFmtId="0" fontId="7" fillId="7" borderId="29" xfId="0" applyFont="1" applyFill="1" applyBorder="1" applyAlignment="1">
      <alignment vertical="center" wrapText="1"/>
    </xf>
    <xf numFmtId="1" fontId="9" fillId="14" borderId="14" xfId="0" applyNumberFormat="1" applyFont="1" applyFill="1" applyBorder="1" applyAlignment="1">
      <alignment horizontal="center" vertical="center"/>
    </xf>
    <xf numFmtId="0" fontId="9" fillId="14" borderId="16" xfId="0" applyFont="1" applyFill="1" applyBorder="1" applyAlignment="1">
      <alignment horizontal="center" vertical="center"/>
    </xf>
    <xf numFmtId="0" fontId="9" fillId="14" borderId="17" xfId="0" applyFont="1" applyFill="1" applyBorder="1" applyAlignment="1">
      <alignment horizontal="center" vertical="center"/>
    </xf>
    <xf numFmtId="0" fontId="9" fillId="14" borderId="18" xfId="0" applyFont="1" applyFill="1" applyBorder="1" applyAlignment="1">
      <alignment horizontal="center" vertical="center"/>
    </xf>
    <xf numFmtId="0" fontId="9" fillId="14" borderId="19" xfId="0" applyFont="1" applyFill="1" applyBorder="1" applyAlignment="1">
      <alignment horizontal="center" vertical="center"/>
    </xf>
    <xf numFmtId="0" fontId="9" fillId="14" borderId="21" xfId="0" applyFont="1" applyFill="1" applyBorder="1" applyAlignment="1">
      <alignment horizontal="center" vertical="center"/>
    </xf>
    <xf numFmtId="0" fontId="8" fillId="14" borderId="14" xfId="0" applyFont="1" applyFill="1" applyBorder="1" applyAlignment="1">
      <alignment horizontal="center" vertical="center"/>
    </xf>
    <xf numFmtId="0" fontId="8" fillId="14" borderId="16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horizontal="left" vertical="center"/>
    </xf>
    <xf numFmtId="1" fontId="9" fillId="12" borderId="14" xfId="0" applyNumberFormat="1" applyFont="1" applyFill="1" applyBorder="1" applyAlignment="1">
      <alignment horizontal="center" vertical="center"/>
    </xf>
    <xf numFmtId="0" fontId="9" fillId="12" borderId="15" xfId="0" applyFont="1" applyFill="1" applyBorder="1" applyAlignment="1">
      <alignment horizontal="center" vertical="center"/>
    </xf>
    <xf numFmtId="0" fontId="9" fillId="12" borderId="16" xfId="0" applyFont="1" applyFill="1" applyBorder="1" applyAlignment="1">
      <alignment horizontal="center" vertical="center"/>
    </xf>
    <xf numFmtId="0" fontId="9" fillId="12" borderId="17" xfId="0" applyFont="1" applyFill="1" applyBorder="1" applyAlignment="1">
      <alignment horizontal="center" vertical="center"/>
    </xf>
    <xf numFmtId="0" fontId="9" fillId="12" borderId="0" xfId="0" applyFont="1" applyFill="1" applyBorder="1" applyAlignment="1">
      <alignment horizontal="center" vertical="center"/>
    </xf>
    <xf numFmtId="0" fontId="9" fillId="12" borderId="18" xfId="0" applyFont="1" applyFill="1" applyBorder="1" applyAlignment="1">
      <alignment horizontal="center" vertical="center"/>
    </xf>
    <xf numFmtId="0" fontId="9" fillId="12" borderId="19" xfId="0" applyFont="1" applyFill="1" applyBorder="1" applyAlignment="1">
      <alignment horizontal="center" vertical="center"/>
    </xf>
    <xf numFmtId="0" fontId="9" fillId="12" borderId="20" xfId="0" applyFont="1" applyFill="1" applyBorder="1" applyAlignment="1">
      <alignment horizontal="center" vertical="center"/>
    </xf>
    <xf numFmtId="0" fontId="9" fillId="12" borderId="21" xfId="0" applyFont="1" applyFill="1" applyBorder="1" applyAlignment="1">
      <alignment horizontal="center" vertical="center"/>
    </xf>
    <xf numFmtId="0" fontId="8" fillId="12" borderId="14" xfId="0" applyFont="1" applyFill="1" applyBorder="1" applyAlignment="1">
      <alignment horizontal="center" vertical="center"/>
    </xf>
    <xf numFmtId="0" fontId="8" fillId="12" borderId="15" xfId="0" applyFont="1" applyFill="1" applyBorder="1" applyAlignment="1">
      <alignment horizontal="center" vertical="center"/>
    </xf>
    <xf numFmtId="0" fontId="8" fillId="12" borderId="16" xfId="0" applyFont="1" applyFill="1" applyBorder="1" applyAlignment="1">
      <alignment horizontal="center" vertical="center"/>
    </xf>
    <xf numFmtId="169" fontId="9" fillId="12" borderId="14" xfId="0" applyNumberFormat="1" applyFont="1" applyFill="1" applyBorder="1" applyAlignment="1">
      <alignment horizontal="center" vertical="center"/>
    </xf>
    <xf numFmtId="1" fontId="9" fillId="13" borderId="14" xfId="0" applyNumberFormat="1" applyFont="1" applyFill="1" applyBorder="1" applyAlignment="1">
      <alignment horizontal="center" vertical="center"/>
    </xf>
    <xf numFmtId="0" fontId="9" fillId="13" borderId="15" xfId="0" applyFont="1" applyFill="1" applyBorder="1" applyAlignment="1">
      <alignment horizontal="center" vertical="center"/>
    </xf>
    <xf numFmtId="0" fontId="9" fillId="13" borderId="16" xfId="0" applyFont="1" applyFill="1" applyBorder="1" applyAlignment="1">
      <alignment horizontal="center" vertical="center"/>
    </xf>
    <xf numFmtId="0" fontId="9" fillId="13" borderId="17" xfId="0" applyFont="1" applyFill="1" applyBorder="1" applyAlignment="1">
      <alignment horizontal="center" vertical="center"/>
    </xf>
    <xf numFmtId="0" fontId="9" fillId="13" borderId="0" xfId="0" applyFont="1" applyFill="1" applyBorder="1" applyAlignment="1">
      <alignment horizontal="center" vertical="center"/>
    </xf>
    <xf numFmtId="0" fontId="9" fillId="13" borderId="18" xfId="0" applyFont="1" applyFill="1" applyBorder="1" applyAlignment="1">
      <alignment horizontal="center" vertical="center"/>
    </xf>
    <xf numFmtId="0" fontId="9" fillId="13" borderId="19" xfId="0" applyFont="1" applyFill="1" applyBorder="1" applyAlignment="1">
      <alignment horizontal="center" vertical="center"/>
    </xf>
    <xf numFmtId="0" fontId="9" fillId="13" borderId="20" xfId="0" applyFont="1" applyFill="1" applyBorder="1" applyAlignment="1">
      <alignment horizontal="center" vertical="center"/>
    </xf>
    <xf numFmtId="0" fontId="9" fillId="13" borderId="21" xfId="0" applyFont="1" applyFill="1" applyBorder="1" applyAlignment="1">
      <alignment horizontal="center" vertical="center"/>
    </xf>
    <xf numFmtId="0" fontId="8" fillId="13" borderId="14" xfId="0" applyFont="1" applyFill="1" applyBorder="1" applyAlignment="1">
      <alignment horizontal="center" vertical="center"/>
    </xf>
    <xf numFmtId="0" fontId="8" fillId="13" borderId="15" xfId="0" applyFont="1" applyFill="1" applyBorder="1" applyAlignment="1">
      <alignment horizontal="center" vertical="center"/>
    </xf>
    <xf numFmtId="0" fontId="8" fillId="13" borderId="16" xfId="0" applyFont="1" applyFill="1" applyBorder="1" applyAlignment="1">
      <alignment horizontal="center" vertical="center"/>
    </xf>
    <xf numFmtId="0" fontId="5" fillId="6" borderId="0" xfId="0" applyFont="1" applyFill="1" applyBorder="1" applyAlignment="1">
      <alignment horizontal="left" vertical="center"/>
    </xf>
    <xf numFmtId="0" fontId="6" fillId="7" borderId="13" xfId="0" applyFont="1" applyFill="1" applyBorder="1" applyAlignment="1">
      <alignment horizontal="left" vertical="center"/>
    </xf>
    <xf numFmtId="1" fontId="9" fillId="8" borderId="14" xfId="0" applyNumberFormat="1" applyFont="1" applyFill="1" applyBorder="1" applyAlignment="1">
      <alignment horizontal="center" vertical="center"/>
    </xf>
    <xf numFmtId="0" fontId="9" fillId="8" borderId="15" xfId="0" applyFont="1" applyFill="1" applyBorder="1" applyAlignment="1">
      <alignment horizontal="center" vertical="center"/>
    </xf>
    <xf numFmtId="0" fontId="9" fillId="8" borderId="16" xfId="0" applyFont="1" applyFill="1" applyBorder="1" applyAlignment="1">
      <alignment horizontal="center" vertical="center"/>
    </xf>
    <xf numFmtId="0" fontId="9" fillId="8" borderId="17" xfId="0" applyFont="1" applyFill="1" applyBorder="1" applyAlignment="1">
      <alignment horizontal="center" vertical="center"/>
    </xf>
    <xf numFmtId="0" fontId="9" fillId="8" borderId="0" xfId="0" applyFont="1" applyFill="1" applyBorder="1" applyAlignment="1">
      <alignment horizontal="center" vertical="center"/>
    </xf>
    <xf numFmtId="0" fontId="9" fillId="8" borderId="18" xfId="0" applyFont="1" applyFill="1" applyBorder="1" applyAlignment="1">
      <alignment horizontal="center" vertical="center"/>
    </xf>
    <xf numFmtId="0" fontId="9" fillId="8" borderId="19" xfId="0" applyFont="1" applyFill="1" applyBorder="1" applyAlignment="1">
      <alignment horizontal="center" vertical="center"/>
    </xf>
    <xf numFmtId="0" fontId="9" fillId="8" borderId="20" xfId="0" applyFont="1" applyFill="1" applyBorder="1" applyAlignment="1">
      <alignment horizontal="center" vertical="center"/>
    </xf>
    <xf numFmtId="0" fontId="9" fillId="8" borderId="21" xfId="0" applyFont="1" applyFill="1" applyBorder="1" applyAlignment="1">
      <alignment horizontal="center" vertical="center"/>
    </xf>
    <xf numFmtId="0" fontId="8" fillId="8" borderId="14" xfId="0" applyFont="1" applyFill="1" applyBorder="1" applyAlignment="1">
      <alignment horizontal="center" vertical="center"/>
    </xf>
    <xf numFmtId="0" fontId="8" fillId="8" borderId="15" xfId="0" applyFont="1" applyFill="1" applyBorder="1" applyAlignment="1">
      <alignment horizontal="center" vertical="center"/>
    </xf>
    <xf numFmtId="0" fontId="8" fillId="8" borderId="16" xfId="0" applyFont="1" applyFill="1" applyBorder="1" applyAlignment="1">
      <alignment horizontal="center" vertical="center"/>
    </xf>
    <xf numFmtId="9" fontId="9" fillId="9" borderId="14" xfId="0" applyNumberFormat="1" applyFont="1" applyFill="1" applyBorder="1" applyAlignment="1">
      <alignment horizontal="center" vertical="center"/>
    </xf>
    <xf numFmtId="0" fontId="9" fillId="9" borderId="15" xfId="0" applyFont="1" applyFill="1" applyBorder="1" applyAlignment="1">
      <alignment horizontal="center" vertical="center"/>
    </xf>
    <xf numFmtId="0" fontId="9" fillId="9" borderId="16" xfId="0" applyFont="1" applyFill="1" applyBorder="1" applyAlignment="1">
      <alignment horizontal="center" vertical="center"/>
    </xf>
    <xf numFmtId="0" fontId="9" fillId="9" borderId="17" xfId="0" applyFont="1" applyFill="1" applyBorder="1" applyAlignment="1">
      <alignment horizontal="center" vertical="center"/>
    </xf>
    <xf numFmtId="0" fontId="9" fillId="9" borderId="0" xfId="0" applyFont="1" applyFill="1" applyBorder="1" applyAlignment="1">
      <alignment horizontal="center" vertical="center"/>
    </xf>
    <xf numFmtId="0" fontId="9" fillId="9" borderId="18" xfId="0" applyFont="1" applyFill="1" applyBorder="1" applyAlignment="1">
      <alignment horizontal="center" vertical="center"/>
    </xf>
    <xf numFmtId="0" fontId="9" fillId="9" borderId="19" xfId="0" applyFont="1" applyFill="1" applyBorder="1" applyAlignment="1">
      <alignment horizontal="center" vertical="center"/>
    </xf>
    <xf numFmtId="0" fontId="9" fillId="9" borderId="20" xfId="0" applyFont="1" applyFill="1" applyBorder="1" applyAlignment="1">
      <alignment horizontal="center" vertical="center"/>
    </xf>
    <xf numFmtId="0" fontId="9" fillId="9" borderId="21" xfId="0" applyFont="1" applyFill="1" applyBorder="1" applyAlignment="1">
      <alignment horizontal="center" vertical="center"/>
    </xf>
    <xf numFmtId="0" fontId="8" fillId="9" borderId="14" xfId="0" applyFont="1" applyFill="1" applyBorder="1" applyAlignment="1">
      <alignment horizontal="center" vertical="center"/>
    </xf>
    <xf numFmtId="0" fontId="8" fillId="9" borderId="15" xfId="0" applyFont="1" applyFill="1" applyBorder="1" applyAlignment="1">
      <alignment horizontal="center" vertical="center"/>
    </xf>
    <xf numFmtId="0" fontId="8" fillId="9" borderId="16" xfId="0" applyFont="1" applyFill="1" applyBorder="1" applyAlignment="1">
      <alignment horizontal="center" vertical="center"/>
    </xf>
    <xf numFmtId="1" fontId="9" fillId="10" borderId="14" xfId="0" applyNumberFormat="1" applyFont="1" applyFill="1" applyBorder="1" applyAlignment="1">
      <alignment horizontal="center" vertical="center"/>
    </xf>
    <xf numFmtId="0" fontId="9" fillId="10" borderId="15" xfId="0" applyFont="1" applyFill="1" applyBorder="1" applyAlignment="1">
      <alignment horizontal="center" vertical="center"/>
    </xf>
    <xf numFmtId="0" fontId="9" fillId="10" borderId="16" xfId="0" applyFont="1" applyFill="1" applyBorder="1" applyAlignment="1">
      <alignment horizontal="center" vertical="center"/>
    </xf>
    <xf numFmtId="0" fontId="9" fillId="10" borderId="17" xfId="0" applyFont="1" applyFill="1" applyBorder="1" applyAlignment="1">
      <alignment horizontal="center" vertical="center"/>
    </xf>
    <xf numFmtId="0" fontId="9" fillId="10" borderId="0" xfId="0" applyFont="1" applyFill="1" applyBorder="1" applyAlignment="1">
      <alignment horizontal="center" vertical="center"/>
    </xf>
    <xf numFmtId="0" fontId="9" fillId="10" borderId="18" xfId="0" applyFont="1" applyFill="1" applyBorder="1" applyAlignment="1">
      <alignment horizontal="center" vertical="center"/>
    </xf>
    <xf numFmtId="0" fontId="9" fillId="10" borderId="19" xfId="0" applyFont="1" applyFill="1" applyBorder="1" applyAlignment="1">
      <alignment horizontal="center" vertical="center"/>
    </xf>
    <xf numFmtId="0" fontId="9" fillId="10" borderId="20" xfId="0" applyFont="1" applyFill="1" applyBorder="1" applyAlignment="1">
      <alignment horizontal="center" vertical="center"/>
    </xf>
    <xf numFmtId="0" fontId="9" fillId="10" borderId="21" xfId="0" applyFont="1" applyFill="1" applyBorder="1" applyAlignment="1">
      <alignment horizontal="center" vertical="center"/>
    </xf>
    <xf numFmtId="0" fontId="8" fillId="10" borderId="14" xfId="0" applyFont="1" applyFill="1" applyBorder="1" applyAlignment="1">
      <alignment horizontal="center" vertical="center"/>
    </xf>
    <xf numFmtId="0" fontId="8" fillId="10" borderId="15" xfId="0" applyFont="1" applyFill="1" applyBorder="1" applyAlignment="1">
      <alignment horizontal="center" vertical="center"/>
    </xf>
    <xf numFmtId="0" fontId="8" fillId="10" borderId="16" xfId="0" applyFont="1" applyFill="1" applyBorder="1" applyAlignment="1">
      <alignment horizontal="center" vertical="center"/>
    </xf>
    <xf numFmtId="168" fontId="9" fillId="11" borderId="14" xfId="0" applyNumberFormat="1" applyFont="1" applyFill="1" applyBorder="1" applyAlignment="1">
      <alignment horizontal="center" vertical="center"/>
    </xf>
    <xf numFmtId="0" fontId="9" fillId="11" borderId="16" xfId="0" applyFont="1" applyFill="1" applyBorder="1" applyAlignment="1">
      <alignment horizontal="center" vertical="center"/>
    </xf>
    <xf numFmtId="0" fontId="9" fillId="11" borderId="17" xfId="0" applyFont="1" applyFill="1" applyBorder="1" applyAlignment="1">
      <alignment horizontal="center" vertical="center"/>
    </xf>
    <xf numFmtId="0" fontId="9" fillId="11" borderId="18" xfId="0" applyFont="1" applyFill="1" applyBorder="1" applyAlignment="1">
      <alignment horizontal="center" vertical="center"/>
    </xf>
    <xf numFmtId="0" fontId="9" fillId="11" borderId="19" xfId="0" applyFont="1" applyFill="1" applyBorder="1" applyAlignment="1">
      <alignment horizontal="center" vertical="center"/>
    </xf>
    <xf numFmtId="0" fontId="9" fillId="11" borderId="21" xfId="0" applyFont="1" applyFill="1" applyBorder="1" applyAlignment="1">
      <alignment horizontal="center" vertical="center"/>
    </xf>
    <xf numFmtId="0" fontId="8" fillId="11" borderId="14" xfId="0" applyFont="1" applyFill="1" applyBorder="1" applyAlignment="1">
      <alignment horizontal="center" vertical="center"/>
    </xf>
    <xf numFmtId="0" fontId="8" fillId="11" borderId="16" xfId="0" applyFont="1" applyFill="1" applyBorder="1" applyAlignment="1">
      <alignment horizontal="center" vertical="center"/>
    </xf>
    <xf numFmtId="0" fontId="10" fillId="6" borderId="0" xfId="0" applyFont="1" applyFill="1" applyBorder="1" applyAlignment="1">
      <alignment vertical="center"/>
    </xf>
    <xf numFmtId="1" fontId="9" fillId="9" borderId="14" xfId="0" applyNumberFormat="1" applyFont="1" applyFill="1" applyBorder="1" applyAlignment="1">
      <alignment horizontal="center" vertical="center"/>
    </xf>
    <xf numFmtId="1" fontId="9" fillId="11" borderId="14" xfId="0" applyNumberFormat="1" applyFont="1" applyFill="1" applyBorder="1" applyAlignment="1">
      <alignment horizontal="center" vertical="center"/>
    </xf>
    <xf numFmtId="169" fontId="9" fillId="11" borderId="14" xfId="0" applyNumberFormat="1" applyFont="1" applyFill="1" applyBorder="1" applyAlignment="1">
      <alignment horizontal="center" vertical="center"/>
    </xf>
    <xf numFmtId="0" fontId="9" fillId="11" borderId="15" xfId="0" applyFont="1" applyFill="1" applyBorder="1" applyAlignment="1">
      <alignment horizontal="center" vertical="center"/>
    </xf>
    <xf numFmtId="0" fontId="9" fillId="11" borderId="0" xfId="0" applyFont="1" applyFill="1" applyBorder="1" applyAlignment="1">
      <alignment horizontal="center" vertical="center"/>
    </xf>
    <xf numFmtId="0" fontId="9" fillId="11" borderId="20" xfId="0" applyFont="1" applyFill="1" applyBorder="1" applyAlignment="1">
      <alignment horizontal="center" vertical="center"/>
    </xf>
    <xf numFmtId="0" fontId="8" fillId="11" borderId="15" xfId="0" applyFont="1" applyFill="1" applyBorder="1" applyAlignment="1">
      <alignment horizontal="center" vertical="center"/>
    </xf>
    <xf numFmtId="0" fontId="9" fillId="14" borderId="15" xfId="0" applyFont="1" applyFill="1" applyBorder="1" applyAlignment="1">
      <alignment horizontal="center" vertical="center"/>
    </xf>
    <xf numFmtId="0" fontId="9" fillId="14" borderId="0" xfId="0" applyFont="1" applyFill="1" applyBorder="1" applyAlignment="1">
      <alignment horizontal="center" vertical="center"/>
    </xf>
    <xf numFmtId="0" fontId="9" fillId="14" borderId="20" xfId="0" applyFont="1" applyFill="1" applyBorder="1" applyAlignment="1">
      <alignment horizontal="center" vertical="center"/>
    </xf>
    <xf numFmtId="0" fontId="8" fillId="14" borderId="15" xfId="0" applyFont="1" applyFill="1" applyBorder="1" applyAlignment="1">
      <alignment horizontal="center" vertical="center"/>
    </xf>
    <xf numFmtId="171" fontId="2" fillId="2" borderId="1" xfId="2" applyNumberFormat="1" applyFont="1" applyFill="1" applyBorder="1" applyAlignment="1">
      <alignment horizontal="center" vertical="center" wrapText="1"/>
    </xf>
    <xf numFmtId="171" fontId="0" fillId="0" borderId="1" xfId="2" applyNumberFormat="1" applyFont="1" applyBorder="1" applyAlignment="1">
      <alignment horizontal="center" vertical="center" wrapText="1"/>
    </xf>
    <xf numFmtId="171" fontId="0" fillId="0" borderId="0" xfId="2" applyNumberFormat="1" applyFont="1" applyBorder="1" applyAlignment="1">
      <alignment horizontal="center" vertical="center" wrapText="1"/>
    </xf>
    <xf numFmtId="171" fontId="0" fillId="0" borderId="0" xfId="2" applyNumberFormat="1" applyFont="1" applyBorder="1" applyAlignment="1">
      <alignment horizontal="center" vertical="center"/>
    </xf>
  </cellXfs>
  <cellStyles count="3">
    <cellStyle name="Comma" xfId="2" builtinId="3"/>
    <cellStyle name="Normal" xfId="0" builtinId="0"/>
    <cellStyle name="Normal 2 2 2 3" xfId="1" xr:uid="{00000000-0005-0000-0000-000001000000}"/>
  </cellStyles>
  <dxfs count="7">
    <dxf>
      <numFmt numFmtId="171" formatCode="_(* #,##0_);_(* \(#,##0\);_(* &quot;-&quot;??_);_(@_)"/>
    </dxf>
    <dxf>
      <font>
        <color rgb="FFC62828"/>
      </font>
      <fill>
        <patternFill>
          <bgColor rgb="FFFEE2E2"/>
        </patternFill>
      </fill>
    </dxf>
    <dxf>
      <font>
        <color rgb="FFF59E0B"/>
      </font>
      <fill>
        <patternFill>
          <bgColor rgb="FFFEF3C7"/>
        </patternFill>
      </fill>
    </dxf>
    <dxf>
      <font>
        <color rgb="FF2E7D32"/>
      </font>
      <fill>
        <patternFill>
          <bgColor rgb="FFDCFCE7"/>
        </patternFill>
      </fill>
    </dxf>
    <dxf>
      <font>
        <color rgb="FFC62828"/>
      </font>
      <fill>
        <patternFill>
          <bgColor rgb="FFFEE2E2"/>
        </patternFill>
      </fill>
    </dxf>
    <dxf>
      <font>
        <color rgb="FFF59E0B"/>
      </font>
      <fill>
        <patternFill>
          <bgColor rgb="FFFEF3C7"/>
        </patternFill>
      </fill>
    </dxf>
    <dxf>
      <font>
        <color rgb="FF2E7D32"/>
      </font>
      <fill>
        <patternFill>
          <bgColor rgb="FFDCFCE7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Actual YTD vs. Annual Target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Target</c:v>
          </c:tx>
          <c:invertIfNegative val="1"/>
          <c:cat>
            <c:strRef>
              <c:f>Overview!$A$41:$A$45</c:f>
              <c:strCache>
                <c:ptCount val="5"/>
                <c:pt idx="0">
                  <c:v>SDVN</c:v>
                </c:pt>
                <c:pt idx="1">
                  <c:v>NGSDVN</c:v>
                </c:pt>
                <c:pt idx="2">
                  <c:v>IKKA</c:v>
                </c:pt>
                <c:pt idx="3">
                  <c:v>TAISHODO</c:v>
                </c:pt>
                <c:pt idx="4">
                  <c:v>SVAW</c:v>
                </c:pt>
              </c:strCache>
            </c:strRef>
          </c:cat>
          <c:val>
            <c:numRef>
              <c:f>Overview!$B$41:$B$45</c:f>
              <c:numCache>
                <c:formatCode>General</c:formatCode>
                <c:ptCount val="5"/>
                <c:pt idx="0">
                  <c:v>400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8B5-43F2-A58A-BE63CDFC1726}"/>
            </c:ext>
          </c:extLst>
        </c:ser>
        <c:ser>
          <c:idx val="1"/>
          <c:order val="1"/>
          <c:tx>
            <c:v>Actual YTD</c:v>
          </c:tx>
          <c:invertIfNegative val="1"/>
          <c:cat>
            <c:strRef>
              <c:f>Overview!$A$41:$A$45</c:f>
              <c:strCache>
                <c:ptCount val="5"/>
                <c:pt idx="0">
                  <c:v>SDVN</c:v>
                </c:pt>
                <c:pt idx="1">
                  <c:v>NGSDVN</c:v>
                </c:pt>
                <c:pt idx="2">
                  <c:v>IKKA</c:v>
                </c:pt>
                <c:pt idx="3">
                  <c:v>TAISHODO</c:v>
                </c:pt>
                <c:pt idx="4">
                  <c:v>SVAW</c:v>
                </c:pt>
              </c:strCache>
            </c:strRef>
          </c:cat>
          <c:val>
            <c:numRef>
              <c:f>Overview!$C$41:$C$45</c:f>
              <c:numCache>
                <c:formatCode>General</c:formatCode>
                <c:ptCount val="5"/>
                <c:pt idx="0">
                  <c:v>20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08B5-43F2-A58A-BE63CDFC1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Booking Volume by Customer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Booking Volume</c:v>
          </c:tx>
          <c:invertIfNegative val="1"/>
          <c:cat>
            <c:strRef>
              <c:f>Overview!$I$41:$I$45</c:f>
              <c:strCache>
                <c:ptCount val="5"/>
                <c:pt idx="0">
                  <c:v>SDVN</c:v>
                </c:pt>
                <c:pt idx="1">
                  <c:v>NGSDVN</c:v>
                </c:pt>
                <c:pt idx="2">
                  <c:v>IKKA</c:v>
                </c:pt>
                <c:pt idx="3">
                  <c:v>TAISHODO</c:v>
                </c:pt>
                <c:pt idx="4">
                  <c:v>SVAW</c:v>
                </c:pt>
              </c:strCache>
            </c:strRef>
          </c:cat>
          <c:val>
            <c:numRef>
              <c:f>Overview!$J$41:$J$45</c:f>
              <c:numCache>
                <c:formatCode>General</c:formatCode>
                <c:ptCount val="5"/>
                <c:pt idx="0">
                  <c:v>20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06-452A-B84B-C7C9ADB461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c:style val="2"/>
  <c:chart>
    <c:title>
      <c:tx>
        <c:rich>
          <a:bodyPr/>
          <a:lstStyle/>
          <a:p>
            <a:r>
              <a:t>Customer Target vs. Actual YTD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Start Using YVF</c:v>
          </c:tx>
          <c:invertIfNegative val="1"/>
          <c:cat>
            <c:strRef>
              <c:f>'Customer Adoption'!$B$13:$B$17</c:f>
              <c:strCache>
                <c:ptCount val="5"/>
                <c:pt idx="0">
                  <c:v>SDVN</c:v>
                </c:pt>
                <c:pt idx="1">
                  <c:v>NGSDVN</c:v>
                </c:pt>
                <c:pt idx="2">
                  <c:v>IKKA</c:v>
                </c:pt>
                <c:pt idx="3">
                  <c:v>TAISHODO</c:v>
                </c:pt>
                <c:pt idx="4">
                  <c:v>SVAW</c:v>
                </c:pt>
              </c:strCache>
            </c:strRef>
          </c:cat>
          <c:val>
            <c:numRef>
              <c:f>'Customer Adoption'!$C$13:$C$17</c:f>
              <c:numCache>
                <c:formatCode>dd\-mmm\-yy</c:formatCode>
                <c:ptCount val="5"/>
                <c:pt idx="0">
                  <c:v>46076</c:v>
                </c:pt>
                <c:pt idx="1">
                  <c:v>46226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1A3-4095-9629-B45D31EF7146}"/>
            </c:ext>
          </c:extLst>
        </c:ser>
        <c:ser>
          <c:idx val="1"/>
          <c:order val="1"/>
          <c:tx>
            <c:v>Status</c:v>
          </c:tx>
          <c:invertIfNegative val="1"/>
          <c:cat>
            <c:strRef>
              <c:f>'Customer Adoption'!$B$13:$B$17</c:f>
              <c:strCache>
                <c:ptCount val="5"/>
                <c:pt idx="0">
                  <c:v>SDVN</c:v>
                </c:pt>
                <c:pt idx="1">
                  <c:v>NGSDVN</c:v>
                </c:pt>
                <c:pt idx="2">
                  <c:v>IKKA</c:v>
                </c:pt>
                <c:pt idx="3">
                  <c:v>TAISHODO</c:v>
                </c:pt>
                <c:pt idx="4">
                  <c:v>SVAW</c:v>
                </c:pt>
              </c:strCache>
            </c:strRef>
          </c:cat>
          <c:val>
            <c:numRef>
              <c:f>'Customer Adoption'!$D$13:$D$17</c:f>
              <c:numCache>
                <c:formatCode>General</c:formatCode>
                <c:ptCount val="5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C1A3-4095-9629-B45D31EF7146}"/>
            </c:ext>
          </c:extLst>
        </c:ser>
        <c:ser>
          <c:idx val="2"/>
          <c:order val="2"/>
          <c:tx>
            <c:v>Target/Year</c:v>
          </c:tx>
          <c:invertIfNegative val="1"/>
          <c:cat>
            <c:strRef>
              <c:f>'Customer Adoption'!$B$13:$B$17</c:f>
              <c:strCache>
                <c:ptCount val="5"/>
                <c:pt idx="0">
                  <c:v>SDVN</c:v>
                </c:pt>
                <c:pt idx="1">
                  <c:v>NGSDVN</c:v>
                </c:pt>
                <c:pt idx="2">
                  <c:v>IKKA</c:v>
                </c:pt>
                <c:pt idx="3">
                  <c:v>TAISHODO</c:v>
                </c:pt>
                <c:pt idx="4">
                  <c:v>SVAW</c:v>
                </c:pt>
              </c:strCache>
            </c:strRef>
          </c:cat>
          <c:val>
            <c:numRef>
              <c:f>'Customer Adoption'!$E$13:$E$17</c:f>
              <c:numCache>
                <c:formatCode>General</c:formatCode>
                <c:ptCount val="5"/>
                <c:pt idx="0">
                  <c:v>400</c:v>
                </c:pt>
                <c:pt idx="1">
                  <c:v>50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C1A3-4095-9629-B45D31EF7146}"/>
            </c:ext>
          </c:extLst>
        </c:ser>
        <c:ser>
          <c:idx val="3"/>
          <c:order val="3"/>
          <c:tx>
            <c:v>Actual YTD</c:v>
          </c:tx>
          <c:invertIfNegative val="1"/>
          <c:cat>
            <c:strRef>
              <c:f>'Customer Adoption'!$B$13:$B$17</c:f>
              <c:strCache>
                <c:ptCount val="5"/>
                <c:pt idx="0">
                  <c:v>SDVN</c:v>
                </c:pt>
                <c:pt idx="1">
                  <c:v>NGSDVN</c:v>
                </c:pt>
                <c:pt idx="2">
                  <c:v>IKKA</c:v>
                </c:pt>
                <c:pt idx="3">
                  <c:v>TAISHODO</c:v>
                </c:pt>
                <c:pt idx="4">
                  <c:v>SVAW</c:v>
                </c:pt>
              </c:strCache>
            </c:strRef>
          </c:cat>
          <c:val>
            <c:numRef>
              <c:f>'Customer Adoption'!$F$13:$F$17</c:f>
              <c:numCache>
                <c:formatCode>General</c:formatCode>
                <c:ptCount val="5"/>
                <c:pt idx="0">
                  <c:v>20</c:v>
                </c:pt>
                <c:pt idx="1">
                  <c:v>5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C1A3-4095-9629-B45D31EF71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48650112"/>
        <c:axId val="48672768"/>
      </c:barChart>
      <c:catAx>
        <c:axId val="48650112"/>
        <c:scaling>
          <c:orientation val="minMax"/>
        </c:scaling>
        <c:delete val="0"/>
        <c:axPos val="b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General" sourceLinked="1"/>
        <c:majorTickMark val="none"/>
        <c:minorTickMark val="none"/>
        <c:tickLblPos val="nextTo"/>
        <c:crossAx val="48672768"/>
        <c:crosses val="autoZero"/>
        <c:auto val="1"/>
        <c:lblAlgn val="ctr"/>
        <c:lblOffset val="100"/>
        <c:noMultiLvlLbl val="0"/>
      </c:catAx>
      <c:valAx>
        <c:axId val="48672768"/>
        <c:scaling>
          <c:orientation val="minMax"/>
        </c:scaling>
        <c:delete val="0"/>
        <c:axPos val="l"/>
        <c:majorGridlines>
          <c:spPr>
            <a:ln w="9525">
              <a:solidFill>
                <a:srgbClr val="CCCCCC"/>
              </a:solidFill>
              <a:prstDash val="dash"/>
            </a:ln>
          </c:spPr>
        </c:majorGridlines>
        <c:numFmt formatCode="dd\-mmm\-yy" sourceLinked="1"/>
        <c:majorTickMark val="none"/>
        <c:minorTickMark val="none"/>
        <c:tickLblPos val="nextTo"/>
        <c:crossAx val="48650112"/>
        <c:crosses val="autoZero"/>
        <c:crossBetween val="between"/>
      </c:valAx>
    </c:plotArea>
    <c:legend>
      <c:legendPos val="b"/>
      <c:overlay val="0"/>
    </c:legend>
    <c:plotVisOnly val="1"/>
    <c:dispBlanksAs val="zero"/>
    <c:showDLblsOverMax val="1"/>
  </c:chart>
  <c:spPr>
    <a:ln w="9525">
      <a:solidFill>
        <a:srgbClr val="D9D9D9"/>
      </a:solidFill>
      <a:prstDash val="solid"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7</xdr:col>
      <xdr:colOff>0</xdr:colOff>
      <xdr:row>29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0</xdr:colOff>
      <xdr:row>15</xdr:row>
      <xdr:rowOff>0</xdr:rowOff>
    </xdr:from>
    <xdr:to>
      <xdr:col>14</xdr:col>
      <xdr:colOff>0</xdr:colOff>
      <xdr:row>29</xdr:row>
      <xdr:rowOff>0</xdr:rowOff>
    </xdr:to>
    <xdr:graphicFrame macro="">
      <xdr:nvGraphicFramePr>
        <xdr:cNvPr id="3" name="Chart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19</xdr:row>
      <xdr:rowOff>0</xdr:rowOff>
    </xdr:from>
    <xdr:to>
      <xdr:col>8</xdr:col>
      <xdr:colOff>0</xdr:colOff>
      <xdr:row>36</xdr:row>
      <xdr:rowOff>0</xdr:rowOff>
    </xdr:to>
    <xdr:graphicFrame macro="">
      <xdr:nvGraphicFramePr>
        <xdr:cNvPr id="2" name="Chart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blBooking" displayName="tblBooking" ref="A1:K8">
  <tableColumns count="11">
    <tableColumn id="1" xr3:uid="{00000000-0010-0000-0000-000001000000}" name="Booking Date"/>
    <tableColumn id="2" xr3:uid="{00000000-0010-0000-0000-000002000000}" name="Customer"/>
    <tableColumn id="3" xr3:uid="{00000000-0010-0000-0000-000003000000}" name="Mode"/>
    <tableColumn id="4" xr3:uid="{00000000-0010-0000-0000-000004000000}" name="Booking Qty" dataDxfId="0" dataCellStyle="Comma"/>
    <tableColumn id="5" xr3:uid="{00000000-0010-0000-0000-000005000000}" name="Processing Time (Min)"/>
    <tableColumn id="6" xr3:uid="{00000000-0010-0000-0000-000006000000}" name="Status"/>
    <tableColumn id="7" xr3:uid="{00000000-0010-0000-0000-000007000000}" name="System Issue"/>
    <tableColumn id="8" xr3:uid="{00000000-0010-0000-0000-000008000000}" name="Week"/>
    <tableColumn id="9" xr3:uid="{00000000-0010-0000-0000-000009000000}" name="Month"/>
    <tableColumn id="10" xr3:uid="{00000000-0010-0000-0000-00000A000000}" name="PIC"/>
    <tableColumn id="11" xr3:uid="{00000000-0010-0000-0000-00000B000000}" name="Remark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tblBooking5" displayName="tblBooking5" ref="A1:K6">
  <tableColumns count="11">
    <tableColumn id="1" xr3:uid="{00000000-0010-0000-0100-000001000000}" name="Submit Date"/>
    <tableColumn id="2" xr3:uid="{00000000-0010-0000-0100-000002000000}" name="Customer"/>
    <tableColumn id="3" xr3:uid="{00000000-0010-0000-0100-000003000000}" name="Mode"/>
    <tableColumn id="4" xr3:uid="{00000000-0010-0000-0100-000004000000}" name="SI Qty"/>
    <tableColumn id="5" xr3:uid="{00000000-0010-0000-0100-000005000000}" name="Processing Time (Min)"/>
    <tableColumn id="6" xr3:uid="{00000000-0010-0000-0100-000006000000}" name="Status"/>
    <tableColumn id="7" xr3:uid="{00000000-0010-0000-0100-000007000000}" name="System Issue"/>
    <tableColumn id="8" xr3:uid="{00000000-0010-0000-0100-000008000000}" name="Week"/>
    <tableColumn id="9" xr3:uid="{00000000-0010-0000-0100-000009000000}" name="Month"/>
    <tableColumn id="10" xr3:uid="{00000000-0010-0000-0100-00000A000000}" name="PIC"/>
    <tableColumn id="11" xr3:uid="{00000000-0010-0000-0100-00000B000000}" name="Remark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tblSI" displayName="tblSI" ref="A1:F10">
  <tableColumns count="6">
    <tableColumn id="1" xr3:uid="{00000000-0010-0000-0200-000001000000}" name="Customer"/>
    <tableColumn id="2" xr3:uid="{00000000-0010-0000-0200-000002000000}" name="Customer Code"/>
    <tableColumn id="5" xr3:uid="{00000000-0010-0000-0200-000005000000}" name="Start Using YVF"/>
    <tableColumn id="6" xr3:uid="{00000000-0010-0000-0200-000006000000}" name="Status"/>
    <tableColumn id="7" xr3:uid="{00000000-0010-0000-0200-000007000000}" name="Target Booking/Year"/>
    <tableColumn id="8" xr3:uid="{00000000-0010-0000-0200-000008000000}" name="Actual Booking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tblIssue" displayName="tblIssue" ref="A1:E4">
  <tableColumns count="5">
    <tableColumn id="1" xr3:uid="{00000000-0010-0000-0300-000001000000}" name="Issue ID"/>
    <tableColumn id="2" xr3:uid="{00000000-0010-0000-0300-000002000000}" name="Module"/>
    <tableColumn id="3" xr3:uid="{00000000-0010-0000-0300-000003000000}" name="Issue"/>
    <tableColumn id="4" xr3:uid="{00000000-0010-0000-0300-000004000000}" name="Impact"/>
    <tableColumn id="5" xr3:uid="{00000000-0010-0000-0300-000005000000}" name="Suggestion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6350">
          <a:solidFill>
            <a:schemeClr val="phClr"/>
          </a:solidFill>
          <a:prstDash val="solid"/>
        </a:ln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K9"/>
  <sheetViews>
    <sheetView workbookViewId="0">
      <selection activeCell="E13" sqref="E13"/>
    </sheetView>
  </sheetViews>
  <sheetFormatPr defaultColWidth="15.1796875" defaultRowHeight="14.5" x14ac:dyDescent="0.35"/>
  <cols>
    <col min="1" max="1" width="12" style="2" customWidth="1"/>
    <col min="2" max="2" width="14" style="2" customWidth="1"/>
    <col min="3" max="3" width="10" style="2" customWidth="1"/>
    <col min="4" max="4" width="13" style="195" customWidth="1"/>
    <col min="5" max="5" width="18" style="2" customWidth="1"/>
    <col min="6" max="6" width="12" style="2" customWidth="1"/>
    <col min="7" max="7" width="14" customWidth="1"/>
    <col min="8" max="8" width="9" customWidth="1"/>
    <col min="9" max="10" width="12" customWidth="1"/>
    <col min="11" max="11" width="32" style="2" customWidth="1"/>
    <col min="12" max="12" width="15.1796875" style="2" customWidth="1"/>
    <col min="13" max="16384" width="15.1796875" style="2"/>
  </cols>
  <sheetData>
    <row r="1" spans="1:11" ht="22.4" customHeight="1" x14ac:dyDescent="0.35">
      <c r="A1" s="10" t="s">
        <v>0</v>
      </c>
      <c r="B1" s="10" t="s">
        <v>1</v>
      </c>
      <c r="C1" s="10" t="s">
        <v>2</v>
      </c>
      <c r="D1" s="192" t="s">
        <v>3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</row>
    <row r="2" spans="1:11" ht="15.65" customHeight="1" x14ac:dyDescent="0.35">
      <c r="A2" s="8">
        <v>46225</v>
      </c>
      <c r="B2" s="5" t="s">
        <v>11</v>
      </c>
      <c r="C2" s="5" t="s">
        <v>12</v>
      </c>
      <c r="D2" s="193">
        <v>3</v>
      </c>
      <c r="E2" s="9">
        <v>3</v>
      </c>
      <c r="F2" s="5" t="s">
        <v>13</v>
      </c>
      <c r="G2" s="5" t="s">
        <v>14</v>
      </c>
      <c r="H2" s="5">
        <f t="shared" ref="H2:H7" si="0">WEEKNUM(A2,2)</f>
        <v>30</v>
      </c>
      <c r="I2" s="5" t="str">
        <f t="shared" ref="I2:I7" si="1">TEXT(A2,"mmm-yyyy")</f>
        <v>Jul-2026</v>
      </c>
      <c r="J2" s="5" t="s">
        <v>15</v>
      </c>
      <c r="K2" s="6"/>
    </row>
    <row r="3" spans="1:11" ht="15.65" customHeight="1" x14ac:dyDescent="0.35">
      <c r="A3" s="8">
        <v>46226</v>
      </c>
      <c r="B3" s="5" t="s">
        <v>11</v>
      </c>
      <c r="C3" s="5" t="s">
        <v>16</v>
      </c>
      <c r="D3" s="193">
        <v>1</v>
      </c>
      <c r="E3" s="9">
        <v>5</v>
      </c>
      <c r="F3" s="5" t="s">
        <v>17</v>
      </c>
      <c r="G3" s="5" t="s">
        <v>18</v>
      </c>
      <c r="H3" s="5">
        <f t="shared" si="0"/>
        <v>30</v>
      </c>
      <c r="I3" s="5" t="str">
        <f t="shared" si="1"/>
        <v>Jul-2026</v>
      </c>
      <c r="J3" s="14" t="s">
        <v>149</v>
      </c>
      <c r="K3" s="6" t="s">
        <v>19</v>
      </c>
    </row>
    <row r="4" spans="1:11" ht="15.65" customHeight="1" x14ac:dyDescent="0.35">
      <c r="A4" s="8">
        <v>46226</v>
      </c>
      <c r="B4" s="5" t="s">
        <v>20</v>
      </c>
      <c r="C4" s="5" t="s">
        <v>16</v>
      </c>
      <c r="D4" s="193">
        <v>3</v>
      </c>
      <c r="E4" s="9">
        <v>5</v>
      </c>
      <c r="F4" s="5" t="s">
        <v>17</v>
      </c>
      <c r="G4" s="5" t="s">
        <v>18</v>
      </c>
      <c r="H4" s="5">
        <f t="shared" si="0"/>
        <v>30</v>
      </c>
      <c r="I4" s="5" t="str">
        <f t="shared" si="1"/>
        <v>Jul-2026</v>
      </c>
      <c r="J4" s="14" t="s">
        <v>149</v>
      </c>
      <c r="K4" s="6" t="s">
        <v>19</v>
      </c>
    </row>
    <row r="5" spans="1:11" ht="15.65" customHeight="1" x14ac:dyDescent="0.35">
      <c r="A5" s="8">
        <v>46227</v>
      </c>
      <c r="B5" s="5" t="s">
        <v>11</v>
      </c>
      <c r="C5" s="5" t="s">
        <v>16</v>
      </c>
      <c r="D5" s="193">
        <v>8</v>
      </c>
      <c r="E5" s="9">
        <v>5</v>
      </c>
      <c r="F5" s="5" t="s">
        <v>17</v>
      </c>
      <c r="G5" s="5" t="s">
        <v>18</v>
      </c>
      <c r="H5" s="5">
        <f t="shared" si="0"/>
        <v>30</v>
      </c>
      <c r="I5" s="5" t="str">
        <f t="shared" si="1"/>
        <v>Jul-2026</v>
      </c>
      <c r="J5" s="14" t="s">
        <v>149</v>
      </c>
      <c r="K5" s="6" t="s">
        <v>19</v>
      </c>
    </row>
    <row r="6" spans="1:11" ht="15.4" customHeight="1" x14ac:dyDescent="0.35">
      <c r="A6" s="8">
        <v>46227</v>
      </c>
      <c r="B6" s="5" t="s">
        <v>20</v>
      </c>
      <c r="C6" s="5" t="s">
        <v>16</v>
      </c>
      <c r="D6" s="193">
        <v>2</v>
      </c>
      <c r="E6" s="9">
        <v>5</v>
      </c>
      <c r="F6" s="5" t="s">
        <v>17</v>
      </c>
      <c r="G6" s="5" t="s">
        <v>18</v>
      </c>
      <c r="H6" s="5">
        <f t="shared" si="0"/>
        <v>30</v>
      </c>
      <c r="I6" s="5" t="str">
        <f t="shared" si="1"/>
        <v>Jul-2026</v>
      </c>
      <c r="J6" s="14" t="s">
        <v>149</v>
      </c>
      <c r="K6" s="6" t="s">
        <v>19</v>
      </c>
    </row>
    <row r="7" spans="1:11" ht="15.4" customHeight="1" x14ac:dyDescent="0.35">
      <c r="A7" s="8">
        <v>46230</v>
      </c>
      <c r="B7" s="5" t="s">
        <v>11</v>
      </c>
      <c r="C7" s="5" t="s">
        <v>16</v>
      </c>
      <c r="D7" s="193">
        <v>3</v>
      </c>
      <c r="E7" s="9">
        <v>6.5</v>
      </c>
      <c r="F7" s="5" t="s">
        <v>17</v>
      </c>
      <c r="G7" s="5" t="s">
        <v>18</v>
      </c>
      <c r="H7" s="5">
        <f t="shared" si="0"/>
        <v>31</v>
      </c>
      <c r="I7" s="5" t="str">
        <f t="shared" si="1"/>
        <v>Jul-2026</v>
      </c>
      <c r="J7" s="14" t="s">
        <v>149</v>
      </c>
      <c r="K7" s="6" t="s">
        <v>19</v>
      </c>
    </row>
    <row r="8" spans="1:11" ht="15.65" customHeight="1" x14ac:dyDescent="0.35">
      <c r="A8" s="92">
        <v>46231</v>
      </c>
      <c r="B8" s="5" t="s">
        <v>11</v>
      </c>
      <c r="C8" s="5" t="s">
        <v>16</v>
      </c>
      <c r="D8" s="194">
        <v>5</v>
      </c>
      <c r="E8" s="9">
        <v>3</v>
      </c>
      <c r="F8" s="5" t="s">
        <v>13</v>
      </c>
      <c r="G8" s="5" t="s">
        <v>18</v>
      </c>
      <c r="H8" s="5">
        <f t="shared" ref="H8" si="2">WEEKNUM(A8,2)</f>
        <v>31</v>
      </c>
      <c r="I8" s="5" t="str">
        <f t="shared" ref="I8" si="3">TEXT(A8,"mmm-yyyy")</f>
        <v>Jul-2026</v>
      </c>
      <c r="J8" s="14" t="s">
        <v>149</v>
      </c>
      <c r="K8" s="3"/>
    </row>
    <row r="9" spans="1:11" ht="15.65" customHeight="1" x14ac:dyDescent="0.35">
      <c r="A9" s="1"/>
      <c r="B9" s="1"/>
      <c r="C9" s="1"/>
      <c r="D9" s="194"/>
      <c r="E9" s="1"/>
      <c r="F9" s="1"/>
      <c r="G9" s="1"/>
      <c r="H9" s="1"/>
      <c r="I9" s="1"/>
      <c r="J9" s="1"/>
      <c r="K9" s="1"/>
    </row>
  </sheetData>
  <conditionalFormatting sqref="F2:F200">
    <cfRule type="expression" dxfId="6" priority="1">
      <formula>F2="Normal"</formula>
    </cfRule>
    <cfRule type="expression" dxfId="5" priority="2">
      <formula>F2="Slow"</formula>
    </cfRule>
    <cfRule type="expression" dxfId="4" priority="3">
      <formula>F2="Error"</formula>
    </cfRule>
  </conditionalFormatting>
  <dataValidations count="4">
    <dataValidation type="list" allowBlank="1" showInputMessage="1" showErrorMessage="1" sqref="F2:F15" xr:uid="{00000000-0002-0000-0000-000000000000}">
      <formula1>"Normal,Slow,Error"</formula1>
    </dataValidation>
    <dataValidation type="list" sqref="C2:C200" xr:uid="{00000000-0002-0000-0000-000001000000}">
      <formula1>"Sea,Air"</formula1>
    </dataValidation>
    <dataValidation type="list" sqref="F2:F200" xr:uid="{00000000-0002-0000-0000-000002000000}">
      <formula1>"Normal,Slow,Error"</formula1>
    </dataValidation>
    <dataValidation type="list" sqref="G2:G200" xr:uid="{00000000-0002-0000-0000-000003000000}">
      <formula1>"Yes,No"</formula1>
    </dataValidation>
  </dataValidation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K8"/>
  <sheetViews>
    <sheetView workbookViewId="0"/>
  </sheetViews>
  <sheetFormatPr defaultColWidth="15.1796875" defaultRowHeight="14.5" x14ac:dyDescent="0.35"/>
  <cols>
    <col min="1" max="1" width="12" style="2" customWidth="1"/>
    <col min="2" max="2" width="14" style="2" customWidth="1"/>
    <col min="3" max="3" width="10" style="2" customWidth="1"/>
    <col min="4" max="4" width="13" style="2" customWidth="1"/>
    <col min="5" max="5" width="18" style="2" customWidth="1"/>
    <col min="6" max="6" width="12" style="2" customWidth="1"/>
    <col min="7" max="7" width="14" customWidth="1"/>
    <col min="8" max="8" width="9" customWidth="1"/>
    <col min="9" max="10" width="12" customWidth="1"/>
    <col min="11" max="11" width="32" style="2" customWidth="1"/>
    <col min="12" max="12" width="15.1796875" style="2" customWidth="1"/>
    <col min="13" max="16384" width="15.1796875" style="2"/>
  </cols>
  <sheetData>
    <row r="1" spans="1:11" ht="22.4" customHeight="1" x14ac:dyDescent="0.35">
      <c r="A1" s="10" t="s">
        <v>21</v>
      </c>
      <c r="B1" s="10" t="s">
        <v>1</v>
      </c>
      <c r="C1" s="10" t="s">
        <v>2</v>
      </c>
      <c r="D1" s="10" t="s">
        <v>22</v>
      </c>
      <c r="E1" s="10" t="s">
        <v>4</v>
      </c>
      <c r="F1" s="10" t="s">
        <v>5</v>
      </c>
      <c r="G1" s="10" t="s">
        <v>6</v>
      </c>
      <c r="H1" s="10" t="s">
        <v>7</v>
      </c>
      <c r="I1" s="10" t="s">
        <v>8</v>
      </c>
      <c r="J1" s="10" t="s">
        <v>9</v>
      </c>
      <c r="K1" s="10" t="s">
        <v>10</v>
      </c>
    </row>
    <row r="2" spans="1:11" ht="15.65" customHeight="1" x14ac:dyDescent="0.35">
      <c r="A2" s="8">
        <v>46230</v>
      </c>
      <c r="B2" s="5" t="s">
        <v>11</v>
      </c>
      <c r="C2" s="5" t="s">
        <v>12</v>
      </c>
      <c r="D2" s="9">
        <v>2</v>
      </c>
      <c r="E2" s="9">
        <v>5</v>
      </c>
      <c r="F2" s="5" t="s">
        <v>13</v>
      </c>
      <c r="G2" s="5" t="s">
        <v>14</v>
      </c>
      <c r="H2" s="5">
        <f>WEEKNUM(A2,2)</f>
        <v>31</v>
      </c>
      <c r="I2" s="5" t="str">
        <f>TEXT(A2,"mmm-yyyy")</f>
        <v>Jul-2026</v>
      </c>
      <c r="J2" s="5" t="s">
        <v>15</v>
      </c>
      <c r="K2" s="6"/>
    </row>
    <row r="3" spans="1:11" ht="15.65" customHeight="1" x14ac:dyDescent="0.35">
      <c r="A3" s="4"/>
      <c r="B3" s="5"/>
      <c r="C3" s="5"/>
      <c r="D3" s="5"/>
      <c r="E3" s="5"/>
      <c r="F3" s="5"/>
      <c r="G3" s="5"/>
      <c r="H3" s="5"/>
      <c r="I3" s="5"/>
      <c r="J3" s="5"/>
      <c r="K3" s="6"/>
    </row>
    <row r="4" spans="1:11" ht="15.65" customHeight="1" x14ac:dyDescent="0.35">
      <c r="A4" s="4"/>
      <c r="B4" s="5"/>
      <c r="C4" s="5"/>
      <c r="D4" s="5"/>
      <c r="E4" s="5"/>
      <c r="F4" s="5"/>
      <c r="G4" s="5"/>
      <c r="H4" s="5"/>
      <c r="I4" s="5"/>
      <c r="J4" s="5"/>
      <c r="K4" s="6"/>
    </row>
    <row r="5" spans="1:11" ht="15.65" customHeight="1" x14ac:dyDescent="0.35">
      <c r="A5" s="4"/>
      <c r="B5" s="5"/>
      <c r="C5" s="5"/>
      <c r="D5" s="5"/>
      <c r="E5" s="5"/>
      <c r="F5" s="5"/>
      <c r="G5" s="5"/>
      <c r="H5" s="5"/>
      <c r="I5" s="5"/>
      <c r="J5" s="5"/>
      <c r="K5" s="6"/>
    </row>
    <row r="6" spans="1:11" ht="15.4" customHeight="1" x14ac:dyDescent="0.35">
      <c r="A6" s="4"/>
      <c r="B6" s="5"/>
      <c r="C6" s="5"/>
      <c r="D6" s="5"/>
      <c r="E6" s="5"/>
      <c r="F6" s="5"/>
      <c r="G6" s="5"/>
      <c r="H6" s="5"/>
      <c r="I6" s="5"/>
      <c r="J6" s="5"/>
      <c r="K6" s="6"/>
    </row>
    <row r="7" spans="1:11" ht="15.65" customHeight="1" x14ac:dyDescent="0.35">
      <c r="A7" s="1"/>
      <c r="B7" s="1"/>
      <c r="C7" s="1"/>
      <c r="D7" s="1"/>
      <c r="E7" s="1"/>
      <c r="F7" s="1"/>
      <c r="G7" s="3"/>
      <c r="H7" s="3"/>
      <c r="I7" s="3"/>
      <c r="J7" s="3"/>
      <c r="K7" s="3"/>
    </row>
    <row r="8" spans="1:11" ht="15.65" customHeight="1" x14ac:dyDescent="0.35">
      <c r="A8" s="1"/>
      <c r="B8" s="1"/>
      <c r="C8" s="1"/>
      <c r="D8" s="1"/>
      <c r="E8" s="1"/>
      <c r="F8" s="1"/>
      <c r="G8" s="1"/>
      <c r="H8" s="1"/>
      <c r="I8" s="1"/>
      <c r="J8" s="1"/>
      <c r="K8" s="1"/>
    </row>
  </sheetData>
  <conditionalFormatting sqref="F2:F199">
    <cfRule type="expression" dxfId="3" priority="1">
      <formula>F2="Normal"</formula>
    </cfRule>
    <cfRule type="expression" dxfId="2" priority="2">
      <formula>F2="Slow"</formula>
    </cfRule>
    <cfRule type="expression" dxfId="1" priority="3">
      <formula>F2="Error"</formula>
    </cfRule>
  </conditionalFormatting>
  <dataValidations count="4">
    <dataValidation type="list" sqref="G2:G199" xr:uid="{00000000-0002-0000-0100-000000000000}">
      <formula1>"Yes,No"</formula1>
    </dataValidation>
    <dataValidation type="list" sqref="F2:F199" xr:uid="{00000000-0002-0000-0100-000001000000}">
      <formula1>"Normal,Slow,Error"</formula1>
    </dataValidation>
    <dataValidation type="list" sqref="C2:C199" xr:uid="{00000000-0002-0000-0100-000002000000}">
      <formula1>"Sea,Air"</formula1>
    </dataValidation>
    <dataValidation type="list" allowBlank="1" showInputMessage="1" showErrorMessage="1" sqref="F2:F14" xr:uid="{00000000-0002-0000-0100-000003000000}">
      <formula1>"Normal,Slow,Error"</formula1>
    </dataValidation>
  </dataValidation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H100"/>
  <sheetViews>
    <sheetView tabSelected="1" workbookViewId="0">
      <selection activeCell="C3" sqref="C3"/>
    </sheetView>
  </sheetViews>
  <sheetFormatPr defaultColWidth="15.1796875" defaultRowHeight="14.5" x14ac:dyDescent="0.35"/>
  <cols>
    <col min="1" max="1" width="43" style="2" customWidth="1"/>
    <col min="2" max="2" width="16" style="2" customWidth="1"/>
    <col min="3" max="3" width="18" style="13" customWidth="1"/>
    <col min="4" max="4" width="14" style="2" customWidth="1"/>
    <col min="5" max="5" width="20" customWidth="1"/>
    <col min="6" max="6" width="19" customWidth="1"/>
    <col min="7" max="7" width="15" style="2" customWidth="1"/>
    <col min="8" max="8" width="18" customWidth="1"/>
    <col min="9" max="16384" width="15.1796875" style="2"/>
  </cols>
  <sheetData>
    <row r="1" spans="1:8" ht="29.4" customHeight="1" x14ac:dyDescent="0.35">
      <c r="A1" s="15" t="s">
        <v>1</v>
      </c>
      <c r="B1" s="15" t="s">
        <v>68</v>
      </c>
      <c r="C1" s="16" t="s">
        <v>69</v>
      </c>
      <c r="D1" s="15" t="s">
        <v>5</v>
      </c>
      <c r="E1" s="15" t="s">
        <v>70</v>
      </c>
      <c r="F1" s="15" t="s">
        <v>71</v>
      </c>
      <c r="G1" s="17" t="s">
        <v>72</v>
      </c>
      <c r="H1" s="17" t="s">
        <v>73</v>
      </c>
    </row>
    <row r="2" spans="1:8" ht="15.65" customHeight="1" x14ac:dyDescent="0.35">
      <c r="A2" s="24" t="s">
        <v>23</v>
      </c>
      <c r="B2" s="25" t="s">
        <v>11</v>
      </c>
      <c r="C2" s="28">
        <v>46076</v>
      </c>
      <c r="D2" s="25" t="s">
        <v>24</v>
      </c>
      <c r="E2" s="34">
        <v>400</v>
      </c>
      <c r="F2" s="34">
        <f ca="1">SUMIFS(Data_Booking!$D:$D,Data_Booking!$B:$B,$B2,Data_Booking!$A:$A,"&gt;="&amp;DATE(YEAR(TODAY()),1,1),Data_Booking!$A:$A,"&lt;="&amp;TODAY())</f>
        <v>20</v>
      </c>
      <c r="G2" s="45">
        <f t="shared" ref="G2:G33" ca="1" si="0">IFERROR(F2/E2,0)</f>
        <v>0.05</v>
      </c>
      <c r="H2" s="41">
        <f ca="1">SUMIFS(Data_Booking!$D:$D,Data_Booking!$B:$B,$B2,Data_Booking!$A:$A,"&gt;="&amp;EOMONTH(TODAY(),-1)+1,Data_Booking!$A:$A,"&lt;="&amp;EOMONTH(TODAY(),0))</f>
        <v>20</v>
      </c>
    </row>
    <row r="3" spans="1:8" ht="24.5" customHeight="1" x14ac:dyDescent="0.35">
      <c r="A3" s="19" t="s">
        <v>25</v>
      </c>
      <c r="B3" s="5" t="s">
        <v>20</v>
      </c>
      <c r="C3" s="29">
        <v>46226</v>
      </c>
      <c r="D3" s="5" t="s">
        <v>24</v>
      </c>
      <c r="E3" s="35">
        <v>50</v>
      </c>
      <c r="F3" s="35">
        <f ca="1">SUMIFS(Data_Booking!$D:$D,Data_Booking!$B:$B,$B3,Data_Booking!$A:$A,"&gt;="&amp;DATE(YEAR(TODAY()),1,1),Data_Booking!$A:$A,"&lt;="&amp;TODAY())</f>
        <v>5</v>
      </c>
      <c r="G3" s="46">
        <f t="shared" ca="1" si="0"/>
        <v>0.1</v>
      </c>
      <c r="H3" s="42">
        <f ca="1">SUMIFS(Data_Booking!$D:$D,Data_Booking!$B:$B,$B3,Data_Booking!$A:$A,"&gt;="&amp;EOMONTH(TODAY(),-1)+1,Data_Booking!$A:$A,"&lt;="&amp;EOMONTH(TODAY(),0))</f>
        <v>5</v>
      </c>
    </row>
    <row r="4" spans="1:8" ht="15.65" customHeight="1" x14ac:dyDescent="0.35">
      <c r="A4" s="26" t="s">
        <v>26</v>
      </c>
      <c r="B4" s="27" t="s">
        <v>27</v>
      </c>
      <c r="C4" s="30"/>
      <c r="D4" s="27" t="s">
        <v>24</v>
      </c>
      <c r="E4" s="36">
        <v>0</v>
      </c>
      <c r="F4" s="36">
        <f ca="1">SUMIFS(Data_Booking!$D:$D,Data_Booking!$B:$B,$B4,Data_Booking!$A:$A,"&gt;="&amp;DATE(YEAR(TODAY()),1,1),Data_Booking!$A:$A,"&lt;="&amp;TODAY())</f>
        <v>0</v>
      </c>
      <c r="G4" s="47">
        <f t="shared" ca="1" si="0"/>
        <v>0</v>
      </c>
      <c r="H4" s="43">
        <f ca="1">SUMIFS(Data_Booking!$D:$D,Data_Booking!$B:$B,$B4,Data_Booking!$A:$A,"&gt;="&amp;EOMONTH(TODAY(),-1)+1,Data_Booking!$A:$A,"&lt;="&amp;EOMONTH(TODAY(),0))</f>
        <v>0</v>
      </c>
    </row>
    <row r="5" spans="1:8" ht="15.65" customHeight="1" x14ac:dyDescent="0.35">
      <c r="A5" s="19" t="s">
        <v>28</v>
      </c>
      <c r="B5" s="5" t="s">
        <v>29</v>
      </c>
      <c r="C5" s="29"/>
      <c r="D5" s="5" t="s">
        <v>24</v>
      </c>
      <c r="E5" s="35">
        <v>0</v>
      </c>
      <c r="F5" s="35">
        <f ca="1">SUMIFS(Data_Booking!$D:$D,Data_Booking!$B:$B,$B5,Data_Booking!$A:$A,"&gt;="&amp;DATE(YEAR(TODAY()),1,1),Data_Booking!$A:$A,"&lt;="&amp;TODAY())</f>
        <v>0</v>
      </c>
      <c r="G5" s="46">
        <f t="shared" ca="1" si="0"/>
        <v>0</v>
      </c>
      <c r="H5" s="42">
        <f ca="1">SUMIFS(Data_Booking!$D:$D,Data_Booking!$B:$B,$B5,Data_Booking!$A:$A,"&gt;="&amp;EOMONTH(TODAY(),-1)+1,Data_Booking!$A:$A,"&lt;="&amp;EOMONTH(TODAY(),0))</f>
        <v>0</v>
      </c>
    </row>
    <row r="6" spans="1:8" ht="15.65" customHeight="1" x14ac:dyDescent="0.35">
      <c r="A6" s="26" t="s">
        <v>30</v>
      </c>
      <c r="B6" s="27" t="s">
        <v>31</v>
      </c>
      <c r="C6" s="30"/>
      <c r="D6" s="27" t="s">
        <v>24</v>
      </c>
      <c r="E6" s="36">
        <v>0</v>
      </c>
      <c r="F6" s="36">
        <f ca="1">SUMIFS(Data_Booking!$D:$D,Data_Booking!$B:$B,$B6,Data_Booking!$A:$A,"&gt;="&amp;DATE(YEAR(TODAY()),1,1),Data_Booking!$A:$A,"&lt;="&amp;TODAY())</f>
        <v>0</v>
      </c>
      <c r="G6" s="47">
        <f t="shared" ca="1" si="0"/>
        <v>0</v>
      </c>
      <c r="H6" s="43">
        <f ca="1">SUMIFS(Data_Booking!$D:$D,Data_Booking!$B:$B,$B6,Data_Booking!$A:$A,"&gt;="&amp;EOMONTH(TODAY(),-1)+1,Data_Booking!$A:$A,"&lt;="&amp;EOMONTH(TODAY(),0))</f>
        <v>0</v>
      </c>
    </row>
    <row r="7" spans="1:8" ht="15.65" customHeight="1" x14ac:dyDescent="0.35">
      <c r="A7" s="19"/>
      <c r="B7" s="5"/>
      <c r="C7" s="29"/>
      <c r="D7" s="5"/>
      <c r="E7" s="35"/>
      <c r="F7" s="35">
        <f ca="1">SUMIFS(Data_Booking!$D:$D,Data_Booking!$B:$B,$B7,Data_Booking!$A:$A,"&gt;="&amp;DATE(YEAR(TODAY()),1,1),Data_Booking!$A:$A,"&lt;="&amp;TODAY())</f>
        <v>0</v>
      </c>
      <c r="G7" s="46">
        <f t="shared" ca="1" si="0"/>
        <v>0</v>
      </c>
      <c r="H7" s="42">
        <f ca="1">SUMIFS(Data_Booking!$D:$D,Data_Booking!$B:$B,$B7,Data_Booking!$A:$A,"&gt;="&amp;EOMONTH(TODAY(),-1)+1,Data_Booking!$A:$A,"&lt;="&amp;EOMONTH(TODAY(),0))</f>
        <v>0</v>
      </c>
    </row>
    <row r="8" spans="1:8" ht="15.65" customHeight="1" x14ac:dyDescent="0.35">
      <c r="A8" s="19"/>
      <c r="B8" s="5"/>
      <c r="C8" s="29"/>
      <c r="D8" s="5"/>
      <c r="E8" s="35"/>
      <c r="F8" s="35">
        <f ca="1">SUMIFS(Data_Booking!$D:$D,Data_Booking!$B:$B,$B8,Data_Booking!$A:$A,"&gt;="&amp;DATE(YEAR(TODAY()),1,1),Data_Booking!$A:$A,"&lt;="&amp;TODAY())</f>
        <v>0</v>
      </c>
      <c r="G8" s="46">
        <f t="shared" ca="1" si="0"/>
        <v>0</v>
      </c>
      <c r="H8" s="42">
        <f ca="1">SUMIFS(Data_Booking!$D:$D,Data_Booking!$B:$B,$B8,Data_Booking!$A:$A,"&gt;="&amp;EOMONTH(TODAY(),-1)+1,Data_Booking!$A:$A,"&lt;="&amp;EOMONTH(TODAY(),0))</f>
        <v>0</v>
      </c>
    </row>
    <row r="9" spans="1:8" ht="15.65" customHeight="1" x14ac:dyDescent="0.35">
      <c r="A9" s="19"/>
      <c r="B9" s="5"/>
      <c r="C9" s="29"/>
      <c r="D9" s="5"/>
      <c r="E9" s="35"/>
      <c r="F9" s="35">
        <f ca="1">SUMIFS(Data_Booking!$D:$D,Data_Booking!$B:$B,$B9,Data_Booking!$A:$A,"&gt;="&amp;DATE(YEAR(TODAY()),1,1),Data_Booking!$A:$A,"&lt;="&amp;TODAY())</f>
        <v>0</v>
      </c>
      <c r="G9" s="46">
        <f t="shared" ca="1" si="0"/>
        <v>0</v>
      </c>
      <c r="H9" s="42">
        <f ca="1">SUMIFS(Data_Booking!$D:$D,Data_Booking!$B:$B,$B9,Data_Booking!$A:$A,"&gt;="&amp;EOMONTH(TODAY(),-1)+1,Data_Booking!$A:$A,"&lt;="&amp;EOMONTH(TODAY(),0))</f>
        <v>0</v>
      </c>
    </row>
    <row r="10" spans="1:8" x14ac:dyDescent="0.35">
      <c r="A10" s="19"/>
      <c r="B10" s="5"/>
      <c r="C10" s="29"/>
      <c r="D10" s="5"/>
      <c r="E10" s="35"/>
      <c r="F10" s="35">
        <f ca="1">SUMIFS(Data_Booking!$D:$D,Data_Booking!$B:$B,$B10,Data_Booking!$A:$A,"&gt;="&amp;DATE(YEAR(TODAY()),1,1),Data_Booking!$A:$A,"&lt;="&amp;TODAY())</f>
        <v>0</v>
      </c>
      <c r="G10" s="46">
        <f t="shared" ca="1" si="0"/>
        <v>0</v>
      </c>
      <c r="H10" s="42">
        <f ca="1">SUMIFS(Data_Booking!$D:$D,Data_Booking!$B:$B,$B10,Data_Booking!$A:$A,"&gt;="&amp;EOMONTH(TODAY(),-1)+1,Data_Booking!$A:$A,"&lt;="&amp;EOMONTH(TODAY(),0))</f>
        <v>0</v>
      </c>
    </row>
    <row r="11" spans="1:8" x14ac:dyDescent="0.35">
      <c r="A11" s="19"/>
      <c r="B11" s="5"/>
      <c r="C11" s="29"/>
      <c r="D11" s="5"/>
      <c r="E11" s="35"/>
      <c r="F11" s="35">
        <f ca="1">SUMIFS(Data_Booking!$D:$D,Data_Booking!$B:$B,$B11,Data_Booking!$A:$A,"&gt;="&amp;DATE(YEAR(TODAY()),1,1),Data_Booking!$A:$A,"&lt;="&amp;TODAY())</f>
        <v>0</v>
      </c>
      <c r="G11" s="46">
        <f t="shared" ca="1" si="0"/>
        <v>0</v>
      </c>
      <c r="H11" s="42">
        <f ca="1">SUMIFS(Data_Booking!$D:$D,Data_Booking!$B:$B,$B11,Data_Booking!$A:$A,"&gt;="&amp;EOMONTH(TODAY(),-1)+1,Data_Booking!$A:$A,"&lt;="&amp;EOMONTH(TODAY(),0))</f>
        <v>0</v>
      </c>
    </row>
    <row r="12" spans="1:8" x14ac:dyDescent="0.35">
      <c r="A12" s="19"/>
      <c r="B12" s="5"/>
      <c r="C12" s="29"/>
      <c r="D12" s="5"/>
      <c r="E12" s="35"/>
      <c r="F12" s="35">
        <f ca="1">SUMIFS(Data_Booking!$D:$D,Data_Booking!$B:$B,$B12,Data_Booking!$A:$A,"&gt;="&amp;DATE(YEAR(TODAY()),1,1),Data_Booking!$A:$A,"&lt;="&amp;TODAY())</f>
        <v>0</v>
      </c>
      <c r="G12" s="46">
        <f t="shared" ca="1" si="0"/>
        <v>0</v>
      </c>
      <c r="H12" s="42">
        <f ca="1">SUMIFS(Data_Booking!$D:$D,Data_Booking!$B:$B,$B12,Data_Booking!$A:$A,"&gt;="&amp;EOMONTH(TODAY(),-1)+1,Data_Booking!$A:$A,"&lt;="&amp;EOMONTH(TODAY(),0))</f>
        <v>0</v>
      </c>
    </row>
    <row r="13" spans="1:8" x14ac:dyDescent="0.35">
      <c r="A13" s="19"/>
      <c r="B13" s="5"/>
      <c r="C13" s="29"/>
      <c r="D13" s="5"/>
      <c r="E13" s="35"/>
      <c r="F13" s="35">
        <f ca="1">SUMIFS(Data_Booking!$D:$D,Data_Booking!$B:$B,$B13,Data_Booking!$A:$A,"&gt;="&amp;DATE(YEAR(TODAY()),1,1),Data_Booking!$A:$A,"&lt;="&amp;TODAY())</f>
        <v>0</v>
      </c>
      <c r="G13" s="46">
        <f t="shared" ca="1" si="0"/>
        <v>0</v>
      </c>
      <c r="H13" s="42">
        <f ca="1">SUMIFS(Data_Booking!$D:$D,Data_Booking!$B:$B,$B13,Data_Booking!$A:$A,"&gt;="&amp;EOMONTH(TODAY(),-1)+1,Data_Booking!$A:$A,"&lt;="&amp;EOMONTH(TODAY(),0))</f>
        <v>0</v>
      </c>
    </row>
    <row r="14" spans="1:8" x14ac:dyDescent="0.35">
      <c r="A14" s="19"/>
      <c r="B14" s="5"/>
      <c r="C14" s="29"/>
      <c r="D14" s="5"/>
      <c r="E14" s="35"/>
      <c r="F14" s="35">
        <f ca="1">SUMIFS(Data_Booking!$D:$D,Data_Booking!$B:$B,$B14,Data_Booking!$A:$A,"&gt;="&amp;DATE(YEAR(TODAY()),1,1),Data_Booking!$A:$A,"&lt;="&amp;TODAY())</f>
        <v>0</v>
      </c>
      <c r="G14" s="46">
        <f t="shared" ca="1" si="0"/>
        <v>0</v>
      </c>
      <c r="H14" s="42">
        <f ca="1">SUMIFS(Data_Booking!$D:$D,Data_Booking!$B:$B,$B14,Data_Booking!$A:$A,"&gt;="&amp;EOMONTH(TODAY(),-1)+1,Data_Booking!$A:$A,"&lt;="&amp;EOMONTH(TODAY(),0))</f>
        <v>0</v>
      </c>
    </row>
    <row r="15" spans="1:8" x14ac:dyDescent="0.35">
      <c r="A15" s="20"/>
      <c r="B15" s="1"/>
      <c r="C15" s="31"/>
      <c r="D15" s="1"/>
      <c r="E15" s="37"/>
      <c r="F15" s="37">
        <f ca="1">SUMIFS(Data_Booking!$D:$D,Data_Booking!$B:$B,$B15,Data_Booking!$A:$A,"&gt;="&amp;DATE(YEAR(TODAY()),1,1),Data_Booking!$A:$A,"&lt;="&amp;TODAY())</f>
        <v>0</v>
      </c>
      <c r="G15" s="46">
        <f t="shared" ca="1" si="0"/>
        <v>0</v>
      </c>
      <c r="H15" s="42">
        <f ca="1">SUMIFS(Data_Booking!$D:$D,Data_Booking!$B:$B,$B15,Data_Booking!$A:$A,"&gt;="&amp;EOMONTH(TODAY(),-1)+1,Data_Booking!$A:$A,"&lt;="&amp;EOMONTH(TODAY(),0))</f>
        <v>0</v>
      </c>
    </row>
    <row r="16" spans="1:8" x14ac:dyDescent="0.35">
      <c r="A16" s="20"/>
      <c r="B16" s="1"/>
      <c r="C16" s="31"/>
      <c r="D16" s="1"/>
      <c r="E16" s="37"/>
      <c r="F16" s="37">
        <f ca="1">SUMIFS(Data_Booking!$D:$D,Data_Booking!$B:$B,$B16,Data_Booking!$A:$A,"&gt;="&amp;DATE(YEAR(TODAY()),1,1),Data_Booking!$A:$A,"&lt;="&amp;TODAY())</f>
        <v>0</v>
      </c>
      <c r="G16" s="46">
        <f t="shared" ca="1" si="0"/>
        <v>0</v>
      </c>
      <c r="H16" s="42">
        <f ca="1">SUMIFS(Data_Booking!$D:$D,Data_Booking!$B:$B,$B16,Data_Booking!$A:$A,"&gt;="&amp;EOMONTH(TODAY(),-1)+1,Data_Booking!$A:$A,"&lt;="&amp;EOMONTH(TODAY(),0))</f>
        <v>0</v>
      </c>
    </row>
    <row r="17" spans="1:8" x14ac:dyDescent="0.35">
      <c r="A17" s="20"/>
      <c r="B17" s="1"/>
      <c r="C17" s="31"/>
      <c r="D17" s="1"/>
      <c r="E17" s="38"/>
      <c r="F17" s="38">
        <f ca="1">SUMIFS(Data_Booking!$D:$D,Data_Booking!$B:$B,$B17,Data_Booking!$A:$A,"&gt;="&amp;DATE(YEAR(TODAY()),1,1),Data_Booking!$A:$A,"&lt;="&amp;TODAY())</f>
        <v>0</v>
      </c>
      <c r="G17" s="46">
        <f t="shared" ca="1" si="0"/>
        <v>0</v>
      </c>
      <c r="H17" s="42">
        <f ca="1">SUMIFS(Data_Booking!$D:$D,Data_Booking!$B:$B,$B17,Data_Booking!$A:$A,"&gt;="&amp;EOMONTH(TODAY(),-1)+1,Data_Booking!$A:$A,"&lt;="&amp;EOMONTH(TODAY(),0))</f>
        <v>0</v>
      </c>
    </row>
    <row r="18" spans="1:8" x14ac:dyDescent="0.35">
      <c r="A18" s="21"/>
      <c r="B18" s="18"/>
      <c r="C18" s="32"/>
      <c r="D18" s="18"/>
      <c r="E18" s="39"/>
      <c r="F18" s="39">
        <f ca="1">SUMIFS(Data_Booking!$D:$D,Data_Booking!$B:$B,$B18,Data_Booking!$A:$A,"&gt;="&amp;DATE(YEAR(TODAY()),1,1),Data_Booking!$A:$A,"&lt;="&amp;TODAY())</f>
        <v>0</v>
      </c>
      <c r="G18" s="46">
        <f t="shared" ca="1" si="0"/>
        <v>0</v>
      </c>
      <c r="H18" s="42">
        <f ca="1">SUMIFS(Data_Booking!$D:$D,Data_Booking!$B:$B,$B18,Data_Booking!$A:$A,"&gt;="&amp;EOMONTH(TODAY(),-1)+1,Data_Booking!$A:$A,"&lt;="&amp;EOMONTH(TODAY(),0))</f>
        <v>0</v>
      </c>
    </row>
    <row r="19" spans="1:8" x14ac:dyDescent="0.35">
      <c r="A19" s="21"/>
      <c r="B19" s="18"/>
      <c r="C19" s="32"/>
      <c r="D19" s="18"/>
      <c r="E19" s="39"/>
      <c r="F19" s="39">
        <f ca="1">SUMIFS(Data_Booking!$D:$D,Data_Booking!$B:$B,$B19,Data_Booking!$A:$A,"&gt;="&amp;DATE(YEAR(TODAY()),1,1),Data_Booking!$A:$A,"&lt;="&amp;TODAY())</f>
        <v>0</v>
      </c>
      <c r="G19" s="46">
        <f t="shared" ca="1" si="0"/>
        <v>0</v>
      </c>
      <c r="H19" s="42">
        <f ca="1">SUMIFS(Data_Booking!$D:$D,Data_Booking!$B:$B,$B19,Data_Booking!$A:$A,"&gt;="&amp;EOMONTH(TODAY(),-1)+1,Data_Booking!$A:$A,"&lt;="&amp;EOMONTH(TODAY(),0))</f>
        <v>0</v>
      </c>
    </row>
    <row r="20" spans="1:8" x14ac:dyDescent="0.35">
      <c r="A20" s="21"/>
      <c r="B20" s="18"/>
      <c r="C20" s="32"/>
      <c r="D20" s="18"/>
      <c r="E20" s="39"/>
      <c r="F20" s="39">
        <f ca="1">SUMIFS(Data_Booking!$D:$D,Data_Booking!$B:$B,$B20,Data_Booking!$A:$A,"&gt;="&amp;DATE(YEAR(TODAY()),1,1),Data_Booking!$A:$A,"&lt;="&amp;TODAY())</f>
        <v>0</v>
      </c>
      <c r="G20" s="46">
        <f t="shared" ca="1" si="0"/>
        <v>0</v>
      </c>
      <c r="H20" s="42">
        <f ca="1">SUMIFS(Data_Booking!$D:$D,Data_Booking!$B:$B,$B20,Data_Booking!$A:$A,"&gt;="&amp;EOMONTH(TODAY(),-1)+1,Data_Booking!$A:$A,"&lt;="&amp;EOMONTH(TODAY(),0))</f>
        <v>0</v>
      </c>
    </row>
    <row r="21" spans="1:8" x14ac:dyDescent="0.35">
      <c r="A21" s="21"/>
      <c r="B21" s="18"/>
      <c r="C21" s="32"/>
      <c r="D21" s="18"/>
      <c r="E21" s="39"/>
      <c r="F21" s="39">
        <f ca="1">SUMIFS(Data_Booking!$D:$D,Data_Booking!$B:$B,$B21,Data_Booking!$A:$A,"&gt;="&amp;DATE(YEAR(TODAY()),1,1),Data_Booking!$A:$A,"&lt;="&amp;TODAY())</f>
        <v>0</v>
      </c>
      <c r="G21" s="46">
        <f t="shared" ca="1" si="0"/>
        <v>0</v>
      </c>
      <c r="H21" s="42">
        <f ca="1">SUMIFS(Data_Booking!$D:$D,Data_Booking!$B:$B,$B21,Data_Booking!$A:$A,"&gt;="&amp;EOMONTH(TODAY(),-1)+1,Data_Booking!$A:$A,"&lt;="&amp;EOMONTH(TODAY(),0))</f>
        <v>0</v>
      </c>
    </row>
    <row r="22" spans="1:8" x14ac:dyDescent="0.35">
      <c r="A22" s="21"/>
      <c r="B22" s="18"/>
      <c r="C22" s="32"/>
      <c r="D22" s="18"/>
      <c r="E22" s="39"/>
      <c r="F22" s="39">
        <f ca="1">SUMIFS(Data_Booking!$D:$D,Data_Booking!$B:$B,$B22,Data_Booking!$A:$A,"&gt;="&amp;DATE(YEAR(TODAY()),1,1),Data_Booking!$A:$A,"&lt;="&amp;TODAY())</f>
        <v>0</v>
      </c>
      <c r="G22" s="46">
        <f t="shared" ca="1" si="0"/>
        <v>0</v>
      </c>
      <c r="H22" s="42">
        <f ca="1">SUMIFS(Data_Booking!$D:$D,Data_Booking!$B:$B,$B22,Data_Booking!$A:$A,"&gt;="&amp;EOMONTH(TODAY(),-1)+1,Data_Booking!$A:$A,"&lt;="&amp;EOMONTH(TODAY(),0))</f>
        <v>0</v>
      </c>
    </row>
    <row r="23" spans="1:8" x14ac:dyDescent="0.35">
      <c r="A23" s="21"/>
      <c r="B23" s="18"/>
      <c r="C23" s="32"/>
      <c r="D23" s="18"/>
      <c r="E23" s="39"/>
      <c r="F23" s="39">
        <f ca="1">SUMIFS(Data_Booking!$D:$D,Data_Booking!$B:$B,$B23,Data_Booking!$A:$A,"&gt;="&amp;DATE(YEAR(TODAY()),1,1),Data_Booking!$A:$A,"&lt;="&amp;TODAY())</f>
        <v>0</v>
      </c>
      <c r="G23" s="46">
        <f t="shared" ca="1" si="0"/>
        <v>0</v>
      </c>
      <c r="H23" s="42">
        <f ca="1">SUMIFS(Data_Booking!$D:$D,Data_Booking!$B:$B,$B23,Data_Booking!$A:$A,"&gt;="&amp;EOMONTH(TODAY(),-1)+1,Data_Booking!$A:$A,"&lt;="&amp;EOMONTH(TODAY(),0))</f>
        <v>0</v>
      </c>
    </row>
    <row r="24" spans="1:8" x14ac:dyDescent="0.35">
      <c r="A24" s="21"/>
      <c r="B24" s="18"/>
      <c r="C24" s="32"/>
      <c r="D24" s="18"/>
      <c r="E24" s="39"/>
      <c r="F24" s="39">
        <f ca="1">SUMIFS(Data_Booking!$D:$D,Data_Booking!$B:$B,$B24,Data_Booking!$A:$A,"&gt;="&amp;DATE(YEAR(TODAY()),1,1),Data_Booking!$A:$A,"&lt;="&amp;TODAY())</f>
        <v>0</v>
      </c>
      <c r="G24" s="46">
        <f t="shared" ca="1" si="0"/>
        <v>0</v>
      </c>
      <c r="H24" s="42">
        <f ca="1">SUMIFS(Data_Booking!$D:$D,Data_Booking!$B:$B,$B24,Data_Booking!$A:$A,"&gt;="&amp;EOMONTH(TODAY(),-1)+1,Data_Booking!$A:$A,"&lt;="&amp;EOMONTH(TODAY(),0))</f>
        <v>0</v>
      </c>
    </row>
    <row r="25" spans="1:8" x14ac:dyDescent="0.35">
      <c r="A25" s="21"/>
      <c r="B25" s="18"/>
      <c r="C25" s="32"/>
      <c r="D25" s="18"/>
      <c r="E25" s="39"/>
      <c r="F25" s="39">
        <f ca="1">SUMIFS(Data_Booking!$D:$D,Data_Booking!$B:$B,$B25,Data_Booking!$A:$A,"&gt;="&amp;DATE(YEAR(TODAY()),1,1),Data_Booking!$A:$A,"&lt;="&amp;TODAY())</f>
        <v>0</v>
      </c>
      <c r="G25" s="46">
        <f t="shared" ca="1" si="0"/>
        <v>0</v>
      </c>
      <c r="H25" s="42">
        <f ca="1">SUMIFS(Data_Booking!$D:$D,Data_Booking!$B:$B,$B25,Data_Booking!$A:$A,"&gt;="&amp;EOMONTH(TODAY(),-1)+1,Data_Booking!$A:$A,"&lt;="&amp;EOMONTH(TODAY(),0))</f>
        <v>0</v>
      </c>
    </row>
    <row r="26" spans="1:8" x14ac:dyDescent="0.35">
      <c r="A26" s="21"/>
      <c r="B26" s="18"/>
      <c r="C26" s="32"/>
      <c r="D26" s="18"/>
      <c r="E26" s="39"/>
      <c r="F26" s="39">
        <f ca="1">SUMIFS(Data_Booking!$D:$D,Data_Booking!$B:$B,$B26,Data_Booking!$A:$A,"&gt;="&amp;DATE(YEAR(TODAY()),1,1),Data_Booking!$A:$A,"&lt;="&amp;TODAY())</f>
        <v>0</v>
      </c>
      <c r="G26" s="46">
        <f t="shared" ca="1" si="0"/>
        <v>0</v>
      </c>
      <c r="H26" s="42">
        <f ca="1">SUMIFS(Data_Booking!$D:$D,Data_Booking!$B:$B,$B26,Data_Booking!$A:$A,"&gt;="&amp;EOMONTH(TODAY(),-1)+1,Data_Booking!$A:$A,"&lt;="&amp;EOMONTH(TODAY(),0))</f>
        <v>0</v>
      </c>
    </row>
    <row r="27" spans="1:8" x14ac:dyDescent="0.35">
      <c r="A27" s="21"/>
      <c r="B27" s="18"/>
      <c r="C27" s="32"/>
      <c r="D27" s="18"/>
      <c r="E27" s="39"/>
      <c r="F27" s="39">
        <f ca="1">SUMIFS(Data_Booking!$D:$D,Data_Booking!$B:$B,$B27,Data_Booking!$A:$A,"&gt;="&amp;DATE(YEAR(TODAY()),1,1),Data_Booking!$A:$A,"&lt;="&amp;TODAY())</f>
        <v>0</v>
      </c>
      <c r="G27" s="46">
        <f t="shared" ca="1" si="0"/>
        <v>0</v>
      </c>
      <c r="H27" s="42">
        <f ca="1">SUMIFS(Data_Booking!$D:$D,Data_Booking!$B:$B,$B27,Data_Booking!$A:$A,"&gt;="&amp;EOMONTH(TODAY(),-1)+1,Data_Booking!$A:$A,"&lt;="&amp;EOMONTH(TODAY(),0))</f>
        <v>0</v>
      </c>
    </row>
    <row r="28" spans="1:8" x14ac:dyDescent="0.35">
      <c r="A28" s="21"/>
      <c r="B28" s="18"/>
      <c r="C28" s="32"/>
      <c r="D28" s="18"/>
      <c r="E28" s="39"/>
      <c r="F28" s="39">
        <f ca="1">SUMIFS(Data_Booking!$D:$D,Data_Booking!$B:$B,$B28,Data_Booking!$A:$A,"&gt;="&amp;DATE(YEAR(TODAY()),1,1),Data_Booking!$A:$A,"&lt;="&amp;TODAY())</f>
        <v>0</v>
      </c>
      <c r="G28" s="46">
        <f t="shared" ca="1" si="0"/>
        <v>0</v>
      </c>
      <c r="H28" s="42">
        <f ca="1">SUMIFS(Data_Booking!$D:$D,Data_Booking!$B:$B,$B28,Data_Booking!$A:$A,"&gt;="&amp;EOMONTH(TODAY(),-1)+1,Data_Booking!$A:$A,"&lt;="&amp;EOMONTH(TODAY(),0))</f>
        <v>0</v>
      </c>
    </row>
    <row r="29" spans="1:8" x14ac:dyDescent="0.35">
      <c r="A29" s="21"/>
      <c r="B29" s="18"/>
      <c r="C29" s="32"/>
      <c r="D29" s="18"/>
      <c r="E29" s="39"/>
      <c r="F29" s="39">
        <f ca="1">SUMIFS(Data_Booking!$D:$D,Data_Booking!$B:$B,$B29,Data_Booking!$A:$A,"&gt;="&amp;DATE(YEAR(TODAY()),1,1),Data_Booking!$A:$A,"&lt;="&amp;TODAY())</f>
        <v>0</v>
      </c>
      <c r="G29" s="46">
        <f t="shared" ca="1" si="0"/>
        <v>0</v>
      </c>
      <c r="H29" s="42">
        <f ca="1">SUMIFS(Data_Booking!$D:$D,Data_Booking!$B:$B,$B29,Data_Booking!$A:$A,"&gt;="&amp;EOMONTH(TODAY(),-1)+1,Data_Booking!$A:$A,"&lt;="&amp;EOMONTH(TODAY(),0))</f>
        <v>0</v>
      </c>
    </row>
    <row r="30" spans="1:8" x14ac:dyDescent="0.35">
      <c r="A30" s="21"/>
      <c r="B30" s="18"/>
      <c r="C30" s="32"/>
      <c r="D30" s="18"/>
      <c r="E30" s="39"/>
      <c r="F30" s="39">
        <f ca="1">SUMIFS(Data_Booking!$D:$D,Data_Booking!$B:$B,$B30,Data_Booking!$A:$A,"&gt;="&amp;DATE(YEAR(TODAY()),1,1),Data_Booking!$A:$A,"&lt;="&amp;TODAY())</f>
        <v>0</v>
      </c>
      <c r="G30" s="46">
        <f t="shared" ca="1" si="0"/>
        <v>0</v>
      </c>
      <c r="H30" s="42">
        <f ca="1">SUMIFS(Data_Booking!$D:$D,Data_Booking!$B:$B,$B30,Data_Booking!$A:$A,"&gt;="&amp;EOMONTH(TODAY(),-1)+1,Data_Booking!$A:$A,"&lt;="&amp;EOMONTH(TODAY(),0))</f>
        <v>0</v>
      </c>
    </row>
    <row r="31" spans="1:8" x14ac:dyDescent="0.35">
      <c r="A31" s="21"/>
      <c r="B31" s="18"/>
      <c r="C31" s="32"/>
      <c r="D31" s="18"/>
      <c r="E31" s="39"/>
      <c r="F31" s="39">
        <f ca="1">SUMIFS(Data_Booking!$D:$D,Data_Booking!$B:$B,$B31,Data_Booking!$A:$A,"&gt;="&amp;DATE(YEAR(TODAY()),1,1),Data_Booking!$A:$A,"&lt;="&amp;TODAY())</f>
        <v>0</v>
      </c>
      <c r="G31" s="46">
        <f t="shared" ca="1" si="0"/>
        <v>0</v>
      </c>
      <c r="H31" s="42">
        <f ca="1">SUMIFS(Data_Booking!$D:$D,Data_Booking!$B:$B,$B31,Data_Booking!$A:$A,"&gt;="&amp;EOMONTH(TODAY(),-1)+1,Data_Booking!$A:$A,"&lt;="&amp;EOMONTH(TODAY(),0))</f>
        <v>0</v>
      </c>
    </row>
    <row r="32" spans="1:8" x14ac:dyDescent="0.35">
      <c r="A32" s="21"/>
      <c r="B32" s="18"/>
      <c r="C32" s="32"/>
      <c r="D32" s="18"/>
      <c r="E32" s="39"/>
      <c r="F32" s="39">
        <f ca="1">SUMIFS(Data_Booking!$D:$D,Data_Booking!$B:$B,$B32,Data_Booking!$A:$A,"&gt;="&amp;DATE(YEAR(TODAY()),1,1),Data_Booking!$A:$A,"&lt;="&amp;TODAY())</f>
        <v>0</v>
      </c>
      <c r="G32" s="46">
        <f t="shared" ca="1" si="0"/>
        <v>0</v>
      </c>
      <c r="H32" s="42">
        <f ca="1">SUMIFS(Data_Booking!$D:$D,Data_Booking!$B:$B,$B32,Data_Booking!$A:$A,"&gt;="&amp;EOMONTH(TODAY(),-1)+1,Data_Booking!$A:$A,"&lt;="&amp;EOMONTH(TODAY(),0))</f>
        <v>0</v>
      </c>
    </row>
    <row r="33" spans="1:8" x14ac:dyDescent="0.35">
      <c r="A33" s="21"/>
      <c r="B33" s="18"/>
      <c r="C33" s="32"/>
      <c r="D33" s="18"/>
      <c r="E33" s="39"/>
      <c r="F33" s="39">
        <f ca="1">SUMIFS(Data_Booking!$D:$D,Data_Booking!$B:$B,$B33,Data_Booking!$A:$A,"&gt;="&amp;DATE(YEAR(TODAY()),1,1),Data_Booking!$A:$A,"&lt;="&amp;TODAY())</f>
        <v>0</v>
      </c>
      <c r="G33" s="46">
        <f t="shared" ca="1" si="0"/>
        <v>0</v>
      </c>
      <c r="H33" s="42">
        <f ca="1">SUMIFS(Data_Booking!$D:$D,Data_Booking!$B:$B,$B33,Data_Booking!$A:$A,"&gt;="&amp;EOMONTH(TODAY(),-1)+1,Data_Booking!$A:$A,"&lt;="&amp;EOMONTH(TODAY(),0))</f>
        <v>0</v>
      </c>
    </row>
    <row r="34" spans="1:8" x14ac:dyDescent="0.35">
      <c r="A34" s="21"/>
      <c r="B34" s="18"/>
      <c r="C34" s="32"/>
      <c r="D34" s="18"/>
      <c r="E34" s="39"/>
      <c r="F34" s="39">
        <f ca="1">SUMIFS(Data_Booking!$D:$D,Data_Booking!$B:$B,$B34,Data_Booking!$A:$A,"&gt;="&amp;DATE(YEAR(TODAY()),1,1),Data_Booking!$A:$A,"&lt;="&amp;TODAY())</f>
        <v>0</v>
      </c>
      <c r="G34" s="46">
        <f t="shared" ref="G34:G65" ca="1" si="1">IFERROR(F34/E34,0)</f>
        <v>0</v>
      </c>
      <c r="H34" s="42">
        <f ca="1">SUMIFS(Data_Booking!$D:$D,Data_Booking!$B:$B,$B34,Data_Booking!$A:$A,"&gt;="&amp;EOMONTH(TODAY(),-1)+1,Data_Booking!$A:$A,"&lt;="&amp;EOMONTH(TODAY(),0))</f>
        <v>0</v>
      </c>
    </row>
    <row r="35" spans="1:8" x14ac:dyDescent="0.35">
      <c r="A35" s="21"/>
      <c r="B35" s="18"/>
      <c r="C35" s="32"/>
      <c r="D35" s="18"/>
      <c r="E35" s="39"/>
      <c r="F35" s="39">
        <f ca="1">SUMIFS(Data_Booking!$D:$D,Data_Booking!$B:$B,$B35,Data_Booking!$A:$A,"&gt;="&amp;DATE(YEAR(TODAY()),1,1),Data_Booking!$A:$A,"&lt;="&amp;TODAY())</f>
        <v>0</v>
      </c>
      <c r="G35" s="46">
        <f t="shared" ca="1" si="1"/>
        <v>0</v>
      </c>
      <c r="H35" s="42">
        <f ca="1">SUMIFS(Data_Booking!$D:$D,Data_Booking!$B:$B,$B35,Data_Booking!$A:$A,"&gt;="&amp;EOMONTH(TODAY(),-1)+1,Data_Booking!$A:$A,"&lt;="&amp;EOMONTH(TODAY(),0))</f>
        <v>0</v>
      </c>
    </row>
    <row r="36" spans="1:8" x14ac:dyDescent="0.35">
      <c r="A36" s="21"/>
      <c r="B36" s="18"/>
      <c r="C36" s="32"/>
      <c r="D36" s="18"/>
      <c r="E36" s="39"/>
      <c r="F36" s="39">
        <f ca="1">SUMIFS(Data_Booking!$D:$D,Data_Booking!$B:$B,$B36,Data_Booking!$A:$A,"&gt;="&amp;DATE(YEAR(TODAY()),1,1),Data_Booking!$A:$A,"&lt;="&amp;TODAY())</f>
        <v>0</v>
      </c>
      <c r="G36" s="46">
        <f t="shared" ca="1" si="1"/>
        <v>0</v>
      </c>
      <c r="H36" s="42">
        <f ca="1">SUMIFS(Data_Booking!$D:$D,Data_Booking!$B:$B,$B36,Data_Booking!$A:$A,"&gt;="&amp;EOMONTH(TODAY(),-1)+1,Data_Booking!$A:$A,"&lt;="&amp;EOMONTH(TODAY(),0))</f>
        <v>0</v>
      </c>
    </row>
    <row r="37" spans="1:8" x14ac:dyDescent="0.35">
      <c r="A37" s="21"/>
      <c r="B37" s="18"/>
      <c r="C37" s="32"/>
      <c r="D37" s="18"/>
      <c r="E37" s="39"/>
      <c r="F37" s="39">
        <f ca="1">SUMIFS(Data_Booking!$D:$D,Data_Booking!$B:$B,$B37,Data_Booking!$A:$A,"&gt;="&amp;DATE(YEAR(TODAY()),1,1),Data_Booking!$A:$A,"&lt;="&amp;TODAY())</f>
        <v>0</v>
      </c>
      <c r="G37" s="46">
        <f t="shared" ca="1" si="1"/>
        <v>0</v>
      </c>
      <c r="H37" s="42">
        <f ca="1">SUMIFS(Data_Booking!$D:$D,Data_Booking!$B:$B,$B37,Data_Booking!$A:$A,"&gt;="&amp;EOMONTH(TODAY(),-1)+1,Data_Booking!$A:$A,"&lt;="&amp;EOMONTH(TODAY(),0))</f>
        <v>0</v>
      </c>
    </row>
    <row r="38" spans="1:8" x14ac:dyDescent="0.35">
      <c r="A38" s="21"/>
      <c r="B38" s="18"/>
      <c r="C38" s="32"/>
      <c r="D38" s="18"/>
      <c r="E38" s="39"/>
      <c r="F38" s="39">
        <f ca="1">SUMIFS(Data_Booking!$D:$D,Data_Booking!$B:$B,$B38,Data_Booking!$A:$A,"&gt;="&amp;DATE(YEAR(TODAY()),1,1),Data_Booking!$A:$A,"&lt;="&amp;TODAY())</f>
        <v>0</v>
      </c>
      <c r="G38" s="46">
        <f t="shared" ca="1" si="1"/>
        <v>0</v>
      </c>
      <c r="H38" s="42">
        <f ca="1">SUMIFS(Data_Booking!$D:$D,Data_Booking!$B:$B,$B38,Data_Booking!$A:$A,"&gt;="&amp;EOMONTH(TODAY(),-1)+1,Data_Booking!$A:$A,"&lt;="&amp;EOMONTH(TODAY(),0))</f>
        <v>0</v>
      </c>
    </row>
    <row r="39" spans="1:8" x14ac:dyDescent="0.35">
      <c r="A39" s="21"/>
      <c r="B39" s="18"/>
      <c r="C39" s="32"/>
      <c r="D39" s="18"/>
      <c r="E39" s="39"/>
      <c r="F39" s="39">
        <f ca="1">SUMIFS(Data_Booking!$D:$D,Data_Booking!$B:$B,$B39,Data_Booking!$A:$A,"&gt;="&amp;DATE(YEAR(TODAY()),1,1),Data_Booking!$A:$A,"&lt;="&amp;TODAY())</f>
        <v>0</v>
      </c>
      <c r="G39" s="46">
        <f t="shared" ca="1" si="1"/>
        <v>0</v>
      </c>
      <c r="H39" s="42">
        <f ca="1">SUMIFS(Data_Booking!$D:$D,Data_Booking!$B:$B,$B39,Data_Booking!$A:$A,"&gt;="&amp;EOMONTH(TODAY(),-1)+1,Data_Booking!$A:$A,"&lt;="&amp;EOMONTH(TODAY(),0))</f>
        <v>0</v>
      </c>
    </row>
    <row r="40" spans="1:8" x14ac:dyDescent="0.35">
      <c r="A40" s="21"/>
      <c r="B40" s="18"/>
      <c r="C40" s="32"/>
      <c r="D40" s="18"/>
      <c r="E40" s="39"/>
      <c r="F40" s="39">
        <f ca="1">SUMIFS(Data_Booking!$D:$D,Data_Booking!$B:$B,$B40,Data_Booking!$A:$A,"&gt;="&amp;DATE(YEAR(TODAY()),1,1),Data_Booking!$A:$A,"&lt;="&amp;TODAY())</f>
        <v>0</v>
      </c>
      <c r="G40" s="46">
        <f t="shared" ca="1" si="1"/>
        <v>0</v>
      </c>
      <c r="H40" s="42">
        <f ca="1">SUMIFS(Data_Booking!$D:$D,Data_Booking!$B:$B,$B40,Data_Booking!$A:$A,"&gt;="&amp;EOMONTH(TODAY(),-1)+1,Data_Booking!$A:$A,"&lt;="&amp;EOMONTH(TODAY(),0))</f>
        <v>0</v>
      </c>
    </row>
    <row r="41" spans="1:8" x14ac:dyDescent="0.35">
      <c r="A41" s="21"/>
      <c r="B41" s="18"/>
      <c r="C41" s="32"/>
      <c r="D41" s="18"/>
      <c r="E41" s="39"/>
      <c r="F41" s="39">
        <f ca="1">SUMIFS(Data_Booking!$D:$D,Data_Booking!$B:$B,$B41,Data_Booking!$A:$A,"&gt;="&amp;DATE(YEAR(TODAY()),1,1),Data_Booking!$A:$A,"&lt;="&amp;TODAY())</f>
        <v>0</v>
      </c>
      <c r="G41" s="46">
        <f t="shared" ca="1" si="1"/>
        <v>0</v>
      </c>
      <c r="H41" s="42">
        <f ca="1">SUMIFS(Data_Booking!$D:$D,Data_Booking!$B:$B,$B41,Data_Booking!$A:$A,"&gt;="&amp;EOMONTH(TODAY(),-1)+1,Data_Booking!$A:$A,"&lt;="&amp;EOMONTH(TODAY(),0))</f>
        <v>0</v>
      </c>
    </row>
    <row r="42" spans="1:8" x14ac:dyDescent="0.35">
      <c r="A42" s="21"/>
      <c r="B42" s="18"/>
      <c r="C42" s="32"/>
      <c r="D42" s="18"/>
      <c r="E42" s="39"/>
      <c r="F42" s="39">
        <f ca="1">SUMIFS(Data_Booking!$D:$D,Data_Booking!$B:$B,$B42,Data_Booking!$A:$A,"&gt;="&amp;DATE(YEAR(TODAY()),1,1),Data_Booking!$A:$A,"&lt;="&amp;TODAY())</f>
        <v>0</v>
      </c>
      <c r="G42" s="46">
        <f t="shared" ca="1" si="1"/>
        <v>0</v>
      </c>
      <c r="H42" s="42">
        <f ca="1">SUMIFS(Data_Booking!$D:$D,Data_Booking!$B:$B,$B42,Data_Booking!$A:$A,"&gt;="&amp;EOMONTH(TODAY(),-1)+1,Data_Booking!$A:$A,"&lt;="&amp;EOMONTH(TODAY(),0))</f>
        <v>0</v>
      </c>
    </row>
    <row r="43" spans="1:8" x14ac:dyDescent="0.35">
      <c r="A43" s="21"/>
      <c r="B43" s="18"/>
      <c r="C43" s="32"/>
      <c r="D43" s="18"/>
      <c r="E43" s="39"/>
      <c r="F43" s="39">
        <f ca="1">SUMIFS(Data_Booking!$D:$D,Data_Booking!$B:$B,$B43,Data_Booking!$A:$A,"&gt;="&amp;DATE(YEAR(TODAY()),1,1),Data_Booking!$A:$A,"&lt;="&amp;TODAY())</f>
        <v>0</v>
      </c>
      <c r="G43" s="46">
        <f t="shared" ca="1" si="1"/>
        <v>0</v>
      </c>
      <c r="H43" s="42">
        <f ca="1">SUMIFS(Data_Booking!$D:$D,Data_Booking!$B:$B,$B43,Data_Booking!$A:$A,"&gt;="&amp;EOMONTH(TODAY(),-1)+1,Data_Booking!$A:$A,"&lt;="&amp;EOMONTH(TODAY(),0))</f>
        <v>0</v>
      </c>
    </row>
    <row r="44" spans="1:8" x14ac:dyDescent="0.35">
      <c r="A44" s="21"/>
      <c r="B44" s="18"/>
      <c r="C44" s="32"/>
      <c r="D44" s="18"/>
      <c r="E44" s="39"/>
      <c r="F44" s="39">
        <f ca="1">SUMIFS(Data_Booking!$D:$D,Data_Booking!$B:$B,$B44,Data_Booking!$A:$A,"&gt;="&amp;DATE(YEAR(TODAY()),1,1),Data_Booking!$A:$A,"&lt;="&amp;TODAY())</f>
        <v>0</v>
      </c>
      <c r="G44" s="46">
        <f t="shared" ca="1" si="1"/>
        <v>0</v>
      </c>
      <c r="H44" s="42">
        <f ca="1">SUMIFS(Data_Booking!$D:$D,Data_Booking!$B:$B,$B44,Data_Booking!$A:$A,"&gt;="&amp;EOMONTH(TODAY(),-1)+1,Data_Booking!$A:$A,"&lt;="&amp;EOMONTH(TODAY(),0))</f>
        <v>0</v>
      </c>
    </row>
    <row r="45" spans="1:8" x14ac:dyDescent="0.35">
      <c r="A45" s="21"/>
      <c r="B45" s="18"/>
      <c r="C45" s="32"/>
      <c r="D45" s="18"/>
      <c r="E45" s="39"/>
      <c r="F45" s="39">
        <f ca="1">SUMIFS(Data_Booking!$D:$D,Data_Booking!$B:$B,$B45,Data_Booking!$A:$A,"&gt;="&amp;DATE(YEAR(TODAY()),1,1),Data_Booking!$A:$A,"&lt;="&amp;TODAY())</f>
        <v>0</v>
      </c>
      <c r="G45" s="46">
        <f t="shared" ca="1" si="1"/>
        <v>0</v>
      </c>
      <c r="H45" s="42">
        <f ca="1">SUMIFS(Data_Booking!$D:$D,Data_Booking!$B:$B,$B45,Data_Booking!$A:$A,"&gt;="&amp;EOMONTH(TODAY(),-1)+1,Data_Booking!$A:$A,"&lt;="&amp;EOMONTH(TODAY(),0))</f>
        <v>0</v>
      </c>
    </row>
    <row r="46" spans="1:8" x14ac:dyDescent="0.35">
      <c r="A46" s="21"/>
      <c r="B46" s="18"/>
      <c r="C46" s="32"/>
      <c r="D46" s="18"/>
      <c r="E46" s="39"/>
      <c r="F46" s="39">
        <f ca="1">SUMIFS(Data_Booking!$D:$D,Data_Booking!$B:$B,$B46,Data_Booking!$A:$A,"&gt;="&amp;DATE(YEAR(TODAY()),1,1),Data_Booking!$A:$A,"&lt;="&amp;TODAY())</f>
        <v>0</v>
      </c>
      <c r="G46" s="46">
        <f t="shared" ca="1" si="1"/>
        <v>0</v>
      </c>
      <c r="H46" s="42">
        <f ca="1">SUMIFS(Data_Booking!$D:$D,Data_Booking!$B:$B,$B46,Data_Booking!$A:$A,"&gt;="&amp;EOMONTH(TODAY(),-1)+1,Data_Booking!$A:$A,"&lt;="&amp;EOMONTH(TODAY(),0))</f>
        <v>0</v>
      </c>
    </row>
    <row r="47" spans="1:8" x14ac:dyDescent="0.35">
      <c r="A47" s="21"/>
      <c r="B47" s="18"/>
      <c r="C47" s="32"/>
      <c r="D47" s="18"/>
      <c r="E47" s="39"/>
      <c r="F47" s="39">
        <f ca="1">SUMIFS(Data_Booking!$D:$D,Data_Booking!$B:$B,$B47,Data_Booking!$A:$A,"&gt;="&amp;DATE(YEAR(TODAY()),1,1),Data_Booking!$A:$A,"&lt;="&amp;TODAY())</f>
        <v>0</v>
      </c>
      <c r="G47" s="46">
        <f t="shared" ca="1" si="1"/>
        <v>0</v>
      </c>
      <c r="H47" s="42">
        <f ca="1">SUMIFS(Data_Booking!$D:$D,Data_Booking!$B:$B,$B47,Data_Booking!$A:$A,"&gt;="&amp;EOMONTH(TODAY(),-1)+1,Data_Booking!$A:$A,"&lt;="&amp;EOMONTH(TODAY(),0))</f>
        <v>0</v>
      </c>
    </row>
    <row r="48" spans="1:8" x14ac:dyDescent="0.35">
      <c r="A48" s="21"/>
      <c r="B48" s="18"/>
      <c r="C48" s="32"/>
      <c r="D48" s="18"/>
      <c r="E48" s="39"/>
      <c r="F48" s="39">
        <f ca="1">SUMIFS(Data_Booking!$D:$D,Data_Booking!$B:$B,$B48,Data_Booking!$A:$A,"&gt;="&amp;DATE(YEAR(TODAY()),1,1),Data_Booking!$A:$A,"&lt;="&amp;TODAY())</f>
        <v>0</v>
      </c>
      <c r="G48" s="46">
        <f t="shared" ca="1" si="1"/>
        <v>0</v>
      </c>
      <c r="H48" s="42">
        <f ca="1">SUMIFS(Data_Booking!$D:$D,Data_Booking!$B:$B,$B48,Data_Booking!$A:$A,"&gt;="&amp;EOMONTH(TODAY(),-1)+1,Data_Booking!$A:$A,"&lt;="&amp;EOMONTH(TODAY(),0))</f>
        <v>0</v>
      </c>
    </row>
    <row r="49" spans="1:8" x14ac:dyDescent="0.35">
      <c r="A49" s="21"/>
      <c r="B49" s="18"/>
      <c r="C49" s="32"/>
      <c r="D49" s="18"/>
      <c r="E49" s="39"/>
      <c r="F49" s="39">
        <f ca="1">SUMIFS(Data_Booking!$D:$D,Data_Booking!$B:$B,$B49,Data_Booking!$A:$A,"&gt;="&amp;DATE(YEAR(TODAY()),1,1),Data_Booking!$A:$A,"&lt;="&amp;TODAY())</f>
        <v>0</v>
      </c>
      <c r="G49" s="46">
        <f t="shared" ca="1" si="1"/>
        <v>0</v>
      </c>
      <c r="H49" s="42">
        <f ca="1">SUMIFS(Data_Booking!$D:$D,Data_Booking!$B:$B,$B49,Data_Booking!$A:$A,"&gt;="&amp;EOMONTH(TODAY(),-1)+1,Data_Booking!$A:$A,"&lt;="&amp;EOMONTH(TODAY(),0))</f>
        <v>0</v>
      </c>
    </row>
    <row r="50" spans="1:8" x14ac:dyDescent="0.35">
      <c r="A50" s="21"/>
      <c r="B50" s="18"/>
      <c r="C50" s="32"/>
      <c r="D50" s="18"/>
      <c r="E50" s="39"/>
      <c r="F50" s="39">
        <f ca="1">SUMIFS(Data_Booking!$D:$D,Data_Booking!$B:$B,$B50,Data_Booking!$A:$A,"&gt;="&amp;DATE(YEAR(TODAY()),1,1),Data_Booking!$A:$A,"&lt;="&amp;TODAY())</f>
        <v>0</v>
      </c>
      <c r="G50" s="46">
        <f t="shared" ca="1" si="1"/>
        <v>0</v>
      </c>
      <c r="H50" s="42">
        <f ca="1">SUMIFS(Data_Booking!$D:$D,Data_Booking!$B:$B,$B50,Data_Booking!$A:$A,"&gt;="&amp;EOMONTH(TODAY(),-1)+1,Data_Booking!$A:$A,"&lt;="&amp;EOMONTH(TODAY(),0))</f>
        <v>0</v>
      </c>
    </row>
    <row r="51" spans="1:8" x14ac:dyDescent="0.35">
      <c r="A51" s="21"/>
      <c r="B51" s="18"/>
      <c r="C51" s="32"/>
      <c r="D51" s="18"/>
      <c r="E51" s="39"/>
      <c r="F51" s="39">
        <f ca="1">SUMIFS(Data_Booking!$D:$D,Data_Booking!$B:$B,$B51,Data_Booking!$A:$A,"&gt;="&amp;DATE(YEAR(TODAY()),1,1),Data_Booking!$A:$A,"&lt;="&amp;TODAY())</f>
        <v>0</v>
      </c>
      <c r="G51" s="46">
        <f t="shared" ca="1" si="1"/>
        <v>0</v>
      </c>
      <c r="H51" s="42">
        <f ca="1">SUMIFS(Data_Booking!$D:$D,Data_Booking!$B:$B,$B51,Data_Booking!$A:$A,"&gt;="&amp;EOMONTH(TODAY(),-1)+1,Data_Booking!$A:$A,"&lt;="&amp;EOMONTH(TODAY(),0))</f>
        <v>0</v>
      </c>
    </row>
    <row r="52" spans="1:8" x14ac:dyDescent="0.35">
      <c r="A52" s="21"/>
      <c r="B52" s="18"/>
      <c r="C52" s="32"/>
      <c r="D52" s="18"/>
      <c r="E52" s="39"/>
      <c r="F52" s="39">
        <f ca="1">SUMIFS(Data_Booking!$D:$D,Data_Booking!$B:$B,$B52,Data_Booking!$A:$A,"&gt;="&amp;DATE(YEAR(TODAY()),1,1),Data_Booking!$A:$A,"&lt;="&amp;TODAY())</f>
        <v>0</v>
      </c>
      <c r="G52" s="46">
        <f t="shared" ca="1" si="1"/>
        <v>0</v>
      </c>
      <c r="H52" s="42">
        <f ca="1">SUMIFS(Data_Booking!$D:$D,Data_Booking!$B:$B,$B52,Data_Booking!$A:$A,"&gt;="&amp;EOMONTH(TODAY(),-1)+1,Data_Booking!$A:$A,"&lt;="&amp;EOMONTH(TODAY(),0))</f>
        <v>0</v>
      </c>
    </row>
    <row r="53" spans="1:8" x14ac:dyDescent="0.35">
      <c r="A53" s="21"/>
      <c r="B53" s="18"/>
      <c r="C53" s="32"/>
      <c r="D53" s="18"/>
      <c r="E53" s="39"/>
      <c r="F53" s="39">
        <f ca="1">SUMIFS(Data_Booking!$D:$D,Data_Booking!$B:$B,$B53,Data_Booking!$A:$A,"&gt;="&amp;DATE(YEAR(TODAY()),1,1),Data_Booking!$A:$A,"&lt;="&amp;TODAY())</f>
        <v>0</v>
      </c>
      <c r="G53" s="46">
        <f t="shared" ca="1" si="1"/>
        <v>0</v>
      </c>
      <c r="H53" s="42">
        <f ca="1">SUMIFS(Data_Booking!$D:$D,Data_Booking!$B:$B,$B53,Data_Booking!$A:$A,"&gt;="&amp;EOMONTH(TODAY(),-1)+1,Data_Booking!$A:$A,"&lt;="&amp;EOMONTH(TODAY(),0))</f>
        <v>0</v>
      </c>
    </row>
    <row r="54" spans="1:8" x14ac:dyDescent="0.35">
      <c r="A54" s="21"/>
      <c r="B54" s="18"/>
      <c r="C54" s="32"/>
      <c r="D54" s="18"/>
      <c r="E54" s="39"/>
      <c r="F54" s="39">
        <f ca="1">SUMIFS(Data_Booking!$D:$D,Data_Booking!$B:$B,$B54,Data_Booking!$A:$A,"&gt;="&amp;DATE(YEAR(TODAY()),1,1),Data_Booking!$A:$A,"&lt;="&amp;TODAY())</f>
        <v>0</v>
      </c>
      <c r="G54" s="46">
        <f t="shared" ca="1" si="1"/>
        <v>0</v>
      </c>
      <c r="H54" s="42">
        <f ca="1">SUMIFS(Data_Booking!$D:$D,Data_Booking!$B:$B,$B54,Data_Booking!$A:$A,"&gt;="&amp;EOMONTH(TODAY(),-1)+1,Data_Booking!$A:$A,"&lt;="&amp;EOMONTH(TODAY(),0))</f>
        <v>0</v>
      </c>
    </row>
    <row r="55" spans="1:8" x14ac:dyDescent="0.35">
      <c r="A55" s="21"/>
      <c r="B55" s="18"/>
      <c r="C55" s="32"/>
      <c r="D55" s="18"/>
      <c r="E55" s="39"/>
      <c r="F55" s="39">
        <f ca="1">SUMIFS(Data_Booking!$D:$D,Data_Booking!$B:$B,$B55,Data_Booking!$A:$A,"&gt;="&amp;DATE(YEAR(TODAY()),1,1),Data_Booking!$A:$A,"&lt;="&amp;TODAY())</f>
        <v>0</v>
      </c>
      <c r="G55" s="46">
        <f t="shared" ca="1" si="1"/>
        <v>0</v>
      </c>
      <c r="H55" s="42">
        <f ca="1">SUMIFS(Data_Booking!$D:$D,Data_Booking!$B:$B,$B55,Data_Booking!$A:$A,"&gt;="&amp;EOMONTH(TODAY(),-1)+1,Data_Booking!$A:$A,"&lt;="&amp;EOMONTH(TODAY(),0))</f>
        <v>0</v>
      </c>
    </row>
    <row r="56" spans="1:8" x14ac:dyDescent="0.35">
      <c r="A56" s="21"/>
      <c r="B56" s="18"/>
      <c r="C56" s="32"/>
      <c r="D56" s="18"/>
      <c r="E56" s="39"/>
      <c r="F56" s="39">
        <f ca="1">SUMIFS(Data_Booking!$D:$D,Data_Booking!$B:$B,$B56,Data_Booking!$A:$A,"&gt;="&amp;DATE(YEAR(TODAY()),1,1),Data_Booking!$A:$A,"&lt;="&amp;TODAY())</f>
        <v>0</v>
      </c>
      <c r="G56" s="46">
        <f t="shared" ca="1" si="1"/>
        <v>0</v>
      </c>
      <c r="H56" s="42">
        <f ca="1">SUMIFS(Data_Booking!$D:$D,Data_Booking!$B:$B,$B56,Data_Booking!$A:$A,"&gt;="&amp;EOMONTH(TODAY(),-1)+1,Data_Booking!$A:$A,"&lt;="&amp;EOMONTH(TODAY(),0))</f>
        <v>0</v>
      </c>
    </row>
    <row r="57" spans="1:8" x14ac:dyDescent="0.35">
      <c r="A57" s="21"/>
      <c r="B57" s="18"/>
      <c r="C57" s="32"/>
      <c r="D57" s="18"/>
      <c r="E57" s="39"/>
      <c r="F57" s="39">
        <f ca="1">SUMIFS(Data_Booking!$D:$D,Data_Booking!$B:$B,$B57,Data_Booking!$A:$A,"&gt;="&amp;DATE(YEAR(TODAY()),1,1),Data_Booking!$A:$A,"&lt;="&amp;TODAY())</f>
        <v>0</v>
      </c>
      <c r="G57" s="46">
        <f t="shared" ca="1" si="1"/>
        <v>0</v>
      </c>
      <c r="H57" s="42">
        <f ca="1">SUMIFS(Data_Booking!$D:$D,Data_Booking!$B:$B,$B57,Data_Booking!$A:$A,"&gt;="&amp;EOMONTH(TODAY(),-1)+1,Data_Booking!$A:$A,"&lt;="&amp;EOMONTH(TODAY(),0))</f>
        <v>0</v>
      </c>
    </row>
    <row r="58" spans="1:8" x14ac:dyDescent="0.35">
      <c r="A58" s="21"/>
      <c r="B58" s="18"/>
      <c r="C58" s="32"/>
      <c r="D58" s="18"/>
      <c r="E58" s="39"/>
      <c r="F58" s="39">
        <f ca="1">SUMIFS(Data_Booking!$D:$D,Data_Booking!$B:$B,$B58,Data_Booking!$A:$A,"&gt;="&amp;DATE(YEAR(TODAY()),1,1),Data_Booking!$A:$A,"&lt;="&amp;TODAY())</f>
        <v>0</v>
      </c>
      <c r="G58" s="46">
        <f t="shared" ca="1" si="1"/>
        <v>0</v>
      </c>
      <c r="H58" s="42">
        <f ca="1">SUMIFS(Data_Booking!$D:$D,Data_Booking!$B:$B,$B58,Data_Booking!$A:$A,"&gt;="&amp;EOMONTH(TODAY(),-1)+1,Data_Booking!$A:$A,"&lt;="&amp;EOMONTH(TODAY(),0))</f>
        <v>0</v>
      </c>
    </row>
    <row r="59" spans="1:8" x14ac:dyDescent="0.35">
      <c r="A59" s="21"/>
      <c r="B59" s="18"/>
      <c r="C59" s="32"/>
      <c r="D59" s="18"/>
      <c r="E59" s="39"/>
      <c r="F59" s="39">
        <f ca="1">SUMIFS(Data_Booking!$D:$D,Data_Booking!$B:$B,$B59,Data_Booking!$A:$A,"&gt;="&amp;DATE(YEAR(TODAY()),1,1),Data_Booking!$A:$A,"&lt;="&amp;TODAY())</f>
        <v>0</v>
      </c>
      <c r="G59" s="46">
        <f t="shared" ca="1" si="1"/>
        <v>0</v>
      </c>
      <c r="H59" s="42">
        <f ca="1">SUMIFS(Data_Booking!$D:$D,Data_Booking!$B:$B,$B59,Data_Booking!$A:$A,"&gt;="&amp;EOMONTH(TODAY(),-1)+1,Data_Booking!$A:$A,"&lt;="&amp;EOMONTH(TODAY(),0))</f>
        <v>0</v>
      </c>
    </row>
    <row r="60" spans="1:8" x14ac:dyDescent="0.35">
      <c r="A60" s="21"/>
      <c r="B60" s="18"/>
      <c r="C60" s="32"/>
      <c r="D60" s="18"/>
      <c r="E60" s="39"/>
      <c r="F60" s="39">
        <f ca="1">SUMIFS(Data_Booking!$D:$D,Data_Booking!$B:$B,$B60,Data_Booking!$A:$A,"&gt;="&amp;DATE(YEAR(TODAY()),1,1),Data_Booking!$A:$A,"&lt;="&amp;TODAY())</f>
        <v>0</v>
      </c>
      <c r="G60" s="46">
        <f t="shared" ca="1" si="1"/>
        <v>0</v>
      </c>
      <c r="H60" s="42">
        <f ca="1">SUMIFS(Data_Booking!$D:$D,Data_Booking!$B:$B,$B60,Data_Booking!$A:$A,"&gt;="&amp;EOMONTH(TODAY(),-1)+1,Data_Booking!$A:$A,"&lt;="&amp;EOMONTH(TODAY(),0))</f>
        <v>0</v>
      </c>
    </row>
    <row r="61" spans="1:8" x14ac:dyDescent="0.35">
      <c r="A61" s="21"/>
      <c r="B61" s="18"/>
      <c r="C61" s="32"/>
      <c r="D61" s="18"/>
      <c r="E61" s="39"/>
      <c r="F61" s="39">
        <f ca="1">SUMIFS(Data_Booking!$D:$D,Data_Booking!$B:$B,$B61,Data_Booking!$A:$A,"&gt;="&amp;DATE(YEAR(TODAY()),1,1),Data_Booking!$A:$A,"&lt;="&amp;TODAY())</f>
        <v>0</v>
      </c>
      <c r="G61" s="46">
        <f t="shared" ca="1" si="1"/>
        <v>0</v>
      </c>
      <c r="H61" s="42">
        <f ca="1">SUMIFS(Data_Booking!$D:$D,Data_Booking!$B:$B,$B61,Data_Booking!$A:$A,"&gt;="&amp;EOMONTH(TODAY(),-1)+1,Data_Booking!$A:$A,"&lt;="&amp;EOMONTH(TODAY(),0))</f>
        <v>0</v>
      </c>
    </row>
    <row r="62" spans="1:8" x14ac:dyDescent="0.35">
      <c r="A62" s="21"/>
      <c r="B62" s="18"/>
      <c r="C62" s="32"/>
      <c r="D62" s="18"/>
      <c r="E62" s="39"/>
      <c r="F62" s="39">
        <f ca="1">SUMIFS(Data_Booking!$D:$D,Data_Booking!$B:$B,$B62,Data_Booking!$A:$A,"&gt;="&amp;DATE(YEAR(TODAY()),1,1),Data_Booking!$A:$A,"&lt;="&amp;TODAY())</f>
        <v>0</v>
      </c>
      <c r="G62" s="46">
        <f t="shared" ca="1" si="1"/>
        <v>0</v>
      </c>
      <c r="H62" s="42">
        <f ca="1">SUMIFS(Data_Booking!$D:$D,Data_Booking!$B:$B,$B62,Data_Booking!$A:$A,"&gt;="&amp;EOMONTH(TODAY(),-1)+1,Data_Booking!$A:$A,"&lt;="&amp;EOMONTH(TODAY(),0))</f>
        <v>0</v>
      </c>
    </row>
    <row r="63" spans="1:8" x14ac:dyDescent="0.35">
      <c r="A63" s="21"/>
      <c r="B63" s="18"/>
      <c r="C63" s="32"/>
      <c r="D63" s="18"/>
      <c r="E63" s="39"/>
      <c r="F63" s="39">
        <f ca="1">SUMIFS(Data_Booking!$D:$D,Data_Booking!$B:$B,$B63,Data_Booking!$A:$A,"&gt;="&amp;DATE(YEAR(TODAY()),1,1),Data_Booking!$A:$A,"&lt;="&amp;TODAY())</f>
        <v>0</v>
      </c>
      <c r="G63" s="46">
        <f t="shared" ca="1" si="1"/>
        <v>0</v>
      </c>
      <c r="H63" s="42">
        <f ca="1">SUMIFS(Data_Booking!$D:$D,Data_Booking!$B:$B,$B63,Data_Booking!$A:$A,"&gt;="&amp;EOMONTH(TODAY(),-1)+1,Data_Booking!$A:$A,"&lt;="&amp;EOMONTH(TODAY(),0))</f>
        <v>0</v>
      </c>
    </row>
    <row r="64" spans="1:8" x14ac:dyDescent="0.35">
      <c r="A64" s="21"/>
      <c r="B64" s="18"/>
      <c r="C64" s="32"/>
      <c r="D64" s="18"/>
      <c r="E64" s="39"/>
      <c r="F64" s="39">
        <f ca="1">SUMIFS(Data_Booking!$D:$D,Data_Booking!$B:$B,$B64,Data_Booking!$A:$A,"&gt;="&amp;DATE(YEAR(TODAY()),1,1),Data_Booking!$A:$A,"&lt;="&amp;TODAY())</f>
        <v>0</v>
      </c>
      <c r="G64" s="46">
        <f t="shared" ca="1" si="1"/>
        <v>0</v>
      </c>
      <c r="H64" s="42">
        <f ca="1">SUMIFS(Data_Booking!$D:$D,Data_Booking!$B:$B,$B64,Data_Booking!$A:$A,"&gt;="&amp;EOMONTH(TODAY(),-1)+1,Data_Booking!$A:$A,"&lt;="&amp;EOMONTH(TODAY(),0))</f>
        <v>0</v>
      </c>
    </row>
    <row r="65" spans="1:8" x14ac:dyDescent="0.35">
      <c r="A65" s="21"/>
      <c r="B65" s="18"/>
      <c r="C65" s="32"/>
      <c r="D65" s="18"/>
      <c r="E65" s="39"/>
      <c r="F65" s="39">
        <f ca="1">SUMIFS(Data_Booking!$D:$D,Data_Booking!$B:$B,$B65,Data_Booking!$A:$A,"&gt;="&amp;DATE(YEAR(TODAY()),1,1),Data_Booking!$A:$A,"&lt;="&amp;TODAY())</f>
        <v>0</v>
      </c>
      <c r="G65" s="46">
        <f t="shared" ca="1" si="1"/>
        <v>0</v>
      </c>
      <c r="H65" s="42">
        <f ca="1">SUMIFS(Data_Booking!$D:$D,Data_Booking!$B:$B,$B65,Data_Booking!$A:$A,"&gt;="&amp;EOMONTH(TODAY(),-1)+1,Data_Booking!$A:$A,"&lt;="&amp;EOMONTH(TODAY(),0))</f>
        <v>0</v>
      </c>
    </row>
    <row r="66" spans="1:8" x14ac:dyDescent="0.35">
      <c r="A66" s="21"/>
      <c r="B66" s="18"/>
      <c r="C66" s="32"/>
      <c r="D66" s="18"/>
      <c r="E66" s="39"/>
      <c r="F66" s="39">
        <f ca="1">SUMIFS(Data_Booking!$D:$D,Data_Booking!$B:$B,$B66,Data_Booking!$A:$A,"&gt;="&amp;DATE(YEAR(TODAY()),1,1),Data_Booking!$A:$A,"&lt;="&amp;TODAY())</f>
        <v>0</v>
      </c>
      <c r="G66" s="46">
        <f t="shared" ref="G66:G97" ca="1" si="2">IFERROR(F66/E66,0)</f>
        <v>0</v>
      </c>
      <c r="H66" s="42">
        <f ca="1">SUMIFS(Data_Booking!$D:$D,Data_Booking!$B:$B,$B66,Data_Booking!$A:$A,"&gt;="&amp;EOMONTH(TODAY(),-1)+1,Data_Booking!$A:$A,"&lt;="&amp;EOMONTH(TODAY(),0))</f>
        <v>0</v>
      </c>
    </row>
    <row r="67" spans="1:8" x14ac:dyDescent="0.35">
      <c r="A67" s="21"/>
      <c r="B67" s="18"/>
      <c r="C67" s="32"/>
      <c r="D67" s="18"/>
      <c r="E67" s="39"/>
      <c r="F67" s="39">
        <f ca="1">SUMIFS(Data_Booking!$D:$D,Data_Booking!$B:$B,$B67,Data_Booking!$A:$A,"&gt;="&amp;DATE(YEAR(TODAY()),1,1),Data_Booking!$A:$A,"&lt;="&amp;TODAY())</f>
        <v>0</v>
      </c>
      <c r="G67" s="46">
        <f t="shared" ca="1" si="2"/>
        <v>0</v>
      </c>
      <c r="H67" s="42">
        <f ca="1">SUMIFS(Data_Booking!$D:$D,Data_Booking!$B:$B,$B67,Data_Booking!$A:$A,"&gt;="&amp;EOMONTH(TODAY(),-1)+1,Data_Booking!$A:$A,"&lt;="&amp;EOMONTH(TODAY(),0))</f>
        <v>0</v>
      </c>
    </row>
    <row r="68" spans="1:8" x14ac:dyDescent="0.35">
      <c r="A68" s="21"/>
      <c r="B68" s="18"/>
      <c r="C68" s="32"/>
      <c r="D68" s="18"/>
      <c r="E68" s="39"/>
      <c r="F68" s="39">
        <f ca="1">SUMIFS(Data_Booking!$D:$D,Data_Booking!$B:$B,$B68,Data_Booking!$A:$A,"&gt;="&amp;DATE(YEAR(TODAY()),1,1),Data_Booking!$A:$A,"&lt;="&amp;TODAY())</f>
        <v>0</v>
      </c>
      <c r="G68" s="46">
        <f t="shared" ca="1" si="2"/>
        <v>0</v>
      </c>
      <c r="H68" s="42">
        <f ca="1">SUMIFS(Data_Booking!$D:$D,Data_Booking!$B:$B,$B68,Data_Booking!$A:$A,"&gt;="&amp;EOMONTH(TODAY(),-1)+1,Data_Booking!$A:$A,"&lt;="&amp;EOMONTH(TODAY(),0))</f>
        <v>0</v>
      </c>
    </row>
    <row r="69" spans="1:8" x14ac:dyDescent="0.35">
      <c r="A69" s="21"/>
      <c r="B69" s="18"/>
      <c r="C69" s="32"/>
      <c r="D69" s="18"/>
      <c r="E69" s="39"/>
      <c r="F69" s="39">
        <f ca="1">SUMIFS(Data_Booking!$D:$D,Data_Booking!$B:$B,$B69,Data_Booking!$A:$A,"&gt;="&amp;DATE(YEAR(TODAY()),1,1),Data_Booking!$A:$A,"&lt;="&amp;TODAY())</f>
        <v>0</v>
      </c>
      <c r="G69" s="46">
        <f t="shared" ca="1" si="2"/>
        <v>0</v>
      </c>
      <c r="H69" s="42">
        <f ca="1">SUMIFS(Data_Booking!$D:$D,Data_Booking!$B:$B,$B69,Data_Booking!$A:$A,"&gt;="&amp;EOMONTH(TODAY(),-1)+1,Data_Booking!$A:$A,"&lt;="&amp;EOMONTH(TODAY(),0))</f>
        <v>0</v>
      </c>
    </row>
    <row r="70" spans="1:8" x14ac:dyDescent="0.35">
      <c r="A70" s="21"/>
      <c r="B70" s="18"/>
      <c r="C70" s="32"/>
      <c r="D70" s="18"/>
      <c r="E70" s="39"/>
      <c r="F70" s="39">
        <f ca="1">SUMIFS(Data_Booking!$D:$D,Data_Booking!$B:$B,$B70,Data_Booking!$A:$A,"&gt;="&amp;DATE(YEAR(TODAY()),1,1),Data_Booking!$A:$A,"&lt;="&amp;TODAY())</f>
        <v>0</v>
      </c>
      <c r="G70" s="46">
        <f t="shared" ca="1" si="2"/>
        <v>0</v>
      </c>
      <c r="H70" s="42">
        <f ca="1">SUMIFS(Data_Booking!$D:$D,Data_Booking!$B:$B,$B70,Data_Booking!$A:$A,"&gt;="&amp;EOMONTH(TODAY(),-1)+1,Data_Booking!$A:$A,"&lt;="&amp;EOMONTH(TODAY(),0))</f>
        <v>0</v>
      </c>
    </row>
    <row r="71" spans="1:8" x14ac:dyDescent="0.35">
      <c r="A71" s="21"/>
      <c r="B71" s="18"/>
      <c r="C71" s="32"/>
      <c r="D71" s="18"/>
      <c r="E71" s="39"/>
      <c r="F71" s="39">
        <f ca="1">SUMIFS(Data_Booking!$D:$D,Data_Booking!$B:$B,$B71,Data_Booking!$A:$A,"&gt;="&amp;DATE(YEAR(TODAY()),1,1),Data_Booking!$A:$A,"&lt;="&amp;TODAY())</f>
        <v>0</v>
      </c>
      <c r="G71" s="46">
        <f t="shared" ca="1" si="2"/>
        <v>0</v>
      </c>
      <c r="H71" s="42">
        <f ca="1">SUMIFS(Data_Booking!$D:$D,Data_Booking!$B:$B,$B71,Data_Booking!$A:$A,"&gt;="&amp;EOMONTH(TODAY(),-1)+1,Data_Booking!$A:$A,"&lt;="&amp;EOMONTH(TODAY(),0))</f>
        <v>0</v>
      </c>
    </row>
    <row r="72" spans="1:8" x14ac:dyDescent="0.35">
      <c r="A72" s="21"/>
      <c r="B72" s="18"/>
      <c r="C72" s="32"/>
      <c r="D72" s="18"/>
      <c r="E72" s="39"/>
      <c r="F72" s="39">
        <f ca="1">SUMIFS(Data_Booking!$D:$D,Data_Booking!$B:$B,$B72,Data_Booking!$A:$A,"&gt;="&amp;DATE(YEAR(TODAY()),1,1),Data_Booking!$A:$A,"&lt;="&amp;TODAY())</f>
        <v>0</v>
      </c>
      <c r="G72" s="46">
        <f t="shared" ca="1" si="2"/>
        <v>0</v>
      </c>
      <c r="H72" s="42">
        <f ca="1">SUMIFS(Data_Booking!$D:$D,Data_Booking!$B:$B,$B72,Data_Booking!$A:$A,"&gt;="&amp;EOMONTH(TODAY(),-1)+1,Data_Booking!$A:$A,"&lt;="&amp;EOMONTH(TODAY(),0))</f>
        <v>0</v>
      </c>
    </row>
    <row r="73" spans="1:8" x14ac:dyDescent="0.35">
      <c r="A73" s="21"/>
      <c r="B73" s="18"/>
      <c r="C73" s="32"/>
      <c r="D73" s="18"/>
      <c r="E73" s="39"/>
      <c r="F73" s="39">
        <f ca="1">SUMIFS(Data_Booking!$D:$D,Data_Booking!$B:$B,$B73,Data_Booking!$A:$A,"&gt;="&amp;DATE(YEAR(TODAY()),1,1),Data_Booking!$A:$A,"&lt;="&amp;TODAY())</f>
        <v>0</v>
      </c>
      <c r="G73" s="46">
        <f t="shared" ca="1" si="2"/>
        <v>0</v>
      </c>
      <c r="H73" s="42">
        <f ca="1">SUMIFS(Data_Booking!$D:$D,Data_Booking!$B:$B,$B73,Data_Booking!$A:$A,"&gt;="&amp;EOMONTH(TODAY(),-1)+1,Data_Booking!$A:$A,"&lt;="&amp;EOMONTH(TODAY(),0))</f>
        <v>0</v>
      </c>
    </row>
    <row r="74" spans="1:8" x14ac:dyDescent="0.35">
      <c r="A74" s="21"/>
      <c r="B74" s="18"/>
      <c r="C74" s="32"/>
      <c r="D74" s="18"/>
      <c r="E74" s="39"/>
      <c r="F74" s="39">
        <f ca="1">SUMIFS(Data_Booking!$D:$D,Data_Booking!$B:$B,$B74,Data_Booking!$A:$A,"&gt;="&amp;DATE(YEAR(TODAY()),1,1),Data_Booking!$A:$A,"&lt;="&amp;TODAY())</f>
        <v>0</v>
      </c>
      <c r="G74" s="46">
        <f t="shared" ca="1" si="2"/>
        <v>0</v>
      </c>
      <c r="H74" s="42">
        <f ca="1">SUMIFS(Data_Booking!$D:$D,Data_Booking!$B:$B,$B74,Data_Booking!$A:$A,"&gt;="&amp;EOMONTH(TODAY(),-1)+1,Data_Booking!$A:$A,"&lt;="&amp;EOMONTH(TODAY(),0))</f>
        <v>0</v>
      </c>
    </row>
    <row r="75" spans="1:8" x14ac:dyDescent="0.35">
      <c r="A75" s="21"/>
      <c r="B75" s="18"/>
      <c r="C75" s="32"/>
      <c r="D75" s="18"/>
      <c r="E75" s="39"/>
      <c r="F75" s="39">
        <f ca="1">SUMIFS(Data_Booking!$D:$D,Data_Booking!$B:$B,$B75,Data_Booking!$A:$A,"&gt;="&amp;DATE(YEAR(TODAY()),1,1),Data_Booking!$A:$A,"&lt;="&amp;TODAY())</f>
        <v>0</v>
      </c>
      <c r="G75" s="46">
        <f t="shared" ca="1" si="2"/>
        <v>0</v>
      </c>
      <c r="H75" s="42">
        <f ca="1">SUMIFS(Data_Booking!$D:$D,Data_Booking!$B:$B,$B75,Data_Booking!$A:$A,"&gt;="&amp;EOMONTH(TODAY(),-1)+1,Data_Booking!$A:$A,"&lt;="&amp;EOMONTH(TODAY(),0))</f>
        <v>0</v>
      </c>
    </row>
    <row r="76" spans="1:8" x14ac:dyDescent="0.35">
      <c r="A76" s="21"/>
      <c r="B76" s="18"/>
      <c r="C76" s="32"/>
      <c r="D76" s="18"/>
      <c r="E76" s="39"/>
      <c r="F76" s="39">
        <f ca="1">SUMIFS(Data_Booking!$D:$D,Data_Booking!$B:$B,$B76,Data_Booking!$A:$A,"&gt;="&amp;DATE(YEAR(TODAY()),1,1),Data_Booking!$A:$A,"&lt;="&amp;TODAY())</f>
        <v>0</v>
      </c>
      <c r="G76" s="46">
        <f t="shared" ca="1" si="2"/>
        <v>0</v>
      </c>
      <c r="H76" s="42">
        <f ca="1">SUMIFS(Data_Booking!$D:$D,Data_Booking!$B:$B,$B76,Data_Booking!$A:$A,"&gt;="&amp;EOMONTH(TODAY(),-1)+1,Data_Booking!$A:$A,"&lt;="&amp;EOMONTH(TODAY(),0))</f>
        <v>0</v>
      </c>
    </row>
    <row r="77" spans="1:8" x14ac:dyDescent="0.35">
      <c r="A77" s="21"/>
      <c r="B77" s="18"/>
      <c r="C77" s="32"/>
      <c r="D77" s="18"/>
      <c r="E77" s="39"/>
      <c r="F77" s="39">
        <f ca="1">SUMIFS(Data_Booking!$D:$D,Data_Booking!$B:$B,$B77,Data_Booking!$A:$A,"&gt;="&amp;DATE(YEAR(TODAY()),1,1),Data_Booking!$A:$A,"&lt;="&amp;TODAY())</f>
        <v>0</v>
      </c>
      <c r="G77" s="46">
        <f t="shared" ca="1" si="2"/>
        <v>0</v>
      </c>
      <c r="H77" s="42">
        <f ca="1">SUMIFS(Data_Booking!$D:$D,Data_Booking!$B:$B,$B77,Data_Booking!$A:$A,"&gt;="&amp;EOMONTH(TODAY(),-1)+1,Data_Booking!$A:$A,"&lt;="&amp;EOMONTH(TODAY(),0))</f>
        <v>0</v>
      </c>
    </row>
    <row r="78" spans="1:8" x14ac:dyDescent="0.35">
      <c r="A78" s="21"/>
      <c r="B78" s="18"/>
      <c r="C78" s="32"/>
      <c r="D78" s="18"/>
      <c r="E78" s="39"/>
      <c r="F78" s="39">
        <f ca="1">SUMIFS(Data_Booking!$D:$D,Data_Booking!$B:$B,$B78,Data_Booking!$A:$A,"&gt;="&amp;DATE(YEAR(TODAY()),1,1),Data_Booking!$A:$A,"&lt;="&amp;TODAY())</f>
        <v>0</v>
      </c>
      <c r="G78" s="46">
        <f t="shared" ca="1" si="2"/>
        <v>0</v>
      </c>
      <c r="H78" s="42">
        <f ca="1">SUMIFS(Data_Booking!$D:$D,Data_Booking!$B:$B,$B78,Data_Booking!$A:$A,"&gt;="&amp;EOMONTH(TODAY(),-1)+1,Data_Booking!$A:$A,"&lt;="&amp;EOMONTH(TODAY(),0))</f>
        <v>0</v>
      </c>
    </row>
    <row r="79" spans="1:8" x14ac:dyDescent="0.35">
      <c r="A79" s="21"/>
      <c r="B79" s="18"/>
      <c r="C79" s="32"/>
      <c r="D79" s="18"/>
      <c r="E79" s="39"/>
      <c r="F79" s="39">
        <f ca="1">SUMIFS(Data_Booking!$D:$D,Data_Booking!$B:$B,$B79,Data_Booking!$A:$A,"&gt;="&amp;DATE(YEAR(TODAY()),1,1),Data_Booking!$A:$A,"&lt;="&amp;TODAY())</f>
        <v>0</v>
      </c>
      <c r="G79" s="46">
        <f t="shared" ca="1" si="2"/>
        <v>0</v>
      </c>
      <c r="H79" s="42">
        <f ca="1">SUMIFS(Data_Booking!$D:$D,Data_Booking!$B:$B,$B79,Data_Booking!$A:$A,"&gt;="&amp;EOMONTH(TODAY(),-1)+1,Data_Booking!$A:$A,"&lt;="&amp;EOMONTH(TODAY(),0))</f>
        <v>0</v>
      </c>
    </row>
    <row r="80" spans="1:8" x14ac:dyDescent="0.35">
      <c r="A80" s="21"/>
      <c r="B80" s="18"/>
      <c r="C80" s="32"/>
      <c r="D80" s="18"/>
      <c r="E80" s="39"/>
      <c r="F80" s="39">
        <f ca="1">SUMIFS(Data_Booking!$D:$D,Data_Booking!$B:$B,$B80,Data_Booking!$A:$A,"&gt;="&amp;DATE(YEAR(TODAY()),1,1),Data_Booking!$A:$A,"&lt;="&amp;TODAY())</f>
        <v>0</v>
      </c>
      <c r="G80" s="46">
        <f t="shared" ca="1" si="2"/>
        <v>0</v>
      </c>
      <c r="H80" s="42">
        <f ca="1">SUMIFS(Data_Booking!$D:$D,Data_Booking!$B:$B,$B80,Data_Booking!$A:$A,"&gt;="&amp;EOMONTH(TODAY(),-1)+1,Data_Booking!$A:$A,"&lt;="&amp;EOMONTH(TODAY(),0))</f>
        <v>0</v>
      </c>
    </row>
    <row r="81" spans="1:8" x14ac:dyDescent="0.35">
      <c r="A81" s="21"/>
      <c r="B81" s="18"/>
      <c r="C81" s="32"/>
      <c r="D81" s="18"/>
      <c r="E81" s="39"/>
      <c r="F81" s="39">
        <f ca="1">SUMIFS(Data_Booking!$D:$D,Data_Booking!$B:$B,$B81,Data_Booking!$A:$A,"&gt;="&amp;DATE(YEAR(TODAY()),1,1),Data_Booking!$A:$A,"&lt;="&amp;TODAY())</f>
        <v>0</v>
      </c>
      <c r="G81" s="46">
        <f t="shared" ca="1" si="2"/>
        <v>0</v>
      </c>
      <c r="H81" s="42">
        <f ca="1">SUMIFS(Data_Booking!$D:$D,Data_Booking!$B:$B,$B81,Data_Booking!$A:$A,"&gt;="&amp;EOMONTH(TODAY(),-1)+1,Data_Booking!$A:$A,"&lt;="&amp;EOMONTH(TODAY(),0))</f>
        <v>0</v>
      </c>
    </row>
    <row r="82" spans="1:8" x14ac:dyDescent="0.35">
      <c r="A82" s="21"/>
      <c r="B82" s="18"/>
      <c r="C82" s="32"/>
      <c r="D82" s="18"/>
      <c r="E82" s="39"/>
      <c r="F82" s="39">
        <f ca="1">SUMIFS(Data_Booking!$D:$D,Data_Booking!$B:$B,$B82,Data_Booking!$A:$A,"&gt;="&amp;DATE(YEAR(TODAY()),1,1),Data_Booking!$A:$A,"&lt;="&amp;TODAY())</f>
        <v>0</v>
      </c>
      <c r="G82" s="46">
        <f t="shared" ca="1" si="2"/>
        <v>0</v>
      </c>
      <c r="H82" s="42">
        <f ca="1">SUMIFS(Data_Booking!$D:$D,Data_Booking!$B:$B,$B82,Data_Booking!$A:$A,"&gt;="&amp;EOMONTH(TODAY(),-1)+1,Data_Booking!$A:$A,"&lt;="&amp;EOMONTH(TODAY(),0))</f>
        <v>0</v>
      </c>
    </row>
    <row r="83" spans="1:8" x14ac:dyDescent="0.35">
      <c r="A83" s="21"/>
      <c r="B83" s="18"/>
      <c r="C83" s="32"/>
      <c r="D83" s="18"/>
      <c r="E83" s="39"/>
      <c r="F83" s="39">
        <f ca="1">SUMIFS(Data_Booking!$D:$D,Data_Booking!$B:$B,$B83,Data_Booking!$A:$A,"&gt;="&amp;DATE(YEAR(TODAY()),1,1),Data_Booking!$A:$A,"&lt;="&amp;TODAY())</f>
        <v>0</v>
      </c>
      <c r="G83" s="46">
        <f t="shared" ca="1" si="2"/>
        <v>0</v>
      </c>
      <c r="H83" s="42">
        <f ca="1">SUMIFS(Data_Booking!$D:$D,Data_Booking!$B:$B,$B83,Data_Booking!$A:$A,"&gt;="&amp;EOMONTH(TODAY(),-1)+1,Data_Booking!$A:$A,"&lt;="&amp;EOMONTH(TODAY(),0))</f>
        <v>0</v>
      </c>
    </row>
    <row r="84" spans="1:8" x14ac:dyDescent="0.35">
      <c r="A84" s="21"/>
      <c r="B84" s="18"/>
      <c r="C84" s="32"/>
      <c r="D84" s="18"/>
      <c r="E84" s="39"/>
      <c r="F84" s="39">
        <f ca="1">SUMIFS(Data_Booking!$D:$D,Data_Booking!$B:$B,$B84,Data_Booking!$A:$A,"&gt;="&amp;DATE(YEAR(TODAY()),1,1),Data_Booking!$A:$A,"&lt;="&amp;TODAY())</f>
        <v>0</v>
      </c>
      <c r="G84" s="46">
        <f t="shared" ca="1" si="2"/>
        <v>0</v>
      </c>
      <c r="H84" s="42">
        <f ca="1">SUMIFS(Data_Booking!$D:$D,Data_Booking!$B:$B,$B84,Data_Booking!$A:$A,"&gt;="&amp;EOMONTH(TODAY(),-1)+1,Data_Booking!$A:$A,"&lt;="&amp;EOMONTH(TODAY(),0))</f>
        <v>0</v>
      </c>
    </row>
    <row r="85" spans="1:8" x14ac:dyDescent="0.35">
      <c r="A85" s="21"/>
      <c r="B85" s="18"/>
      <c r="C85" s="32"/>
      <c r="D85" s="18"/>
      <c r="E85" s="39"/>
      <c r="F85" s="39">
        <f ca="1">SUMIFS(Data_Booking!$D:$D,Data_Booking!$B:$B,$B85,Data_Booking!$A:$A,"&gt;="&amp;DATE(YEAR(TODAY()),1,1),Data_Booking!$A:$A,"&lt;="&amp;TODAY())</f>
        <v>0</v>
      </c>
      <c r="G85" s="46">
        <f t="shared" ca="1" si="2"/>
        <v>0</v>
      </c>
      <c r="H85" s="42">
        <f ca="1">SUMIFS(Data_Booking!$D:$D,Data_Booking!$B:$B,$B85,Data_Booking!$A:$A,"&gt;="&amp;EOMONTH(TODAY(),-1)+1,Data_Booking!$A:$A,"&lt;="&amp;EOMONTH(TODAY(),0))</f>
        <v>0</v>
      </c>
    </row>
    <row r="86" spans="1:8" x14ac:dyDescent="0.35">
      <c r="A86" s="21"/>
      <c r="B86" s="18"/>
      <c r="C86" s="32"/>
      <c r="D86" s="18"/>
      <c r="E86" s="39"/>
      <c r="F86" s="39">
        <f ca="1">SUMIFS(Data_Booking!$D:$D,Data_Booking!$B:$B,$B86,Data_Booking!$A:$A,"&gt;="&amp;DATE(YEAR(TODAY()),1,1),Data_Booking!$A:$A,"&lt;="&amp;TODAY())</f>
        <v>0</v>
      </c>
      <c r="G86" s="46">
        <f t="shared" ca="1" si="2"/>
        <v>0</v>
      </c>
      <c r="H86" s="42">
        <f ca="1">SUMIFS(Data_Booking!$D:$D,Data_Booking!$B:$B,$B86,Data_Booking!$A:$A,"&gt;="&amp;EOMONTH(TODAY(),-1)+1,Data_Booking!$A:$A,"&lt;="&amp;EOMONTH(TODAY(),0))</f>
        <v>0</v>
      </c>
    </row>
    <row r="87" spans="1:8" x14ac:dyDescent="0.35">
      <c r="A87" s="21"/>
      <c r="B87" s="18"/>
      <c r="C87" s="32"/>
      <c r="D87" s="18"/>
      <c r="E87" s="39"/>
      <c r="F87" s="39">
        <f ca="1">SUMIFS(Data_Booking!$D:$D,Data_Booking!$B:$B,$B87,Data_Booking!$A:$A,"&gt;="&amp;DATE(YEAR(TODAY()),1,1),Data_Booking!$A:$A,"&lt;="&amp;TODAY())</f>
        <v>0</v>
      </c>
      <c r="G87" s="46">
        <f t="shared" ca="1" si="2"/>
        <v>0</v>
      </c>
      <c r="H87" s="42">
        <f ca="1">SUMIFS(Data_Booking!$D:$D,Data_Booking!$B:$B,$B87,Data_Booking!$A:$A,"&gt;="&amp;EOMONTH(TODAY(),-1)+1,Data_Booking!$A:$A,"&lt;="&amp;EOMONTH(TODAY(),0))</f>
        <v>0</v>
      </c>
    </row>
    <row r="88" spans="1:8" x14ac:dyDescent="0.35">
      <c r="A88" s="21"/>
      <c r="B88" s="18"/>
      <c r="C88" s="32"/>
      <c r="D88" s="18"/>
      <c r="E88" s="39"/>
      <c r="F88" s="39">
        <f ca="1">SUMIFS(Data_Booking!$D:$D,Data_Booking!$B:$B,$B88,Data_Booking!$A:$A,"&gt;="&amp;DATE(YEAR(TODAY()),1,1),Data_Booking!$A:$A,"&lt;="&amp;TODAY())</f>
        <v>0</v>
      </c>
      <c r="G88" s="46">
        <f t="shared" ca="1" si="2"/>
        <v>0</v>
      </c>
      <c r="H88" s="42">
        <f ca="1">SUMIFS(Data_Booking!$D:$D,Data_Booking!$B:$B,$B88,Data_Booking!$A:$A,"&gt;="&amp;EOMONTH(TODAY(),-1)+1,Data_Booking!$A:$A,"&lt;="&amp;EOMONTH(TODAY(),0))</f>
        <v>0</v>
      </c>
    </row>
    <row r="89" spans="1:8" x14ac:dyDescent="0.35">
      <c r="A89" s="21"/>
      <c r="B89" s="18"/>
      <c r="C89" s="32"/>
      <c r="D89" s="18"/>
      <c r="E89" s="39"/>
      <c r="F89" s="39">
        <f ca="1">SUMIFS(Data_Booking!$D:$D,Data_Booking!$B:$B,$B89,Data_Booking!$A:$A,"&gt;="&amp;DATE(YEAR(TODAY()),1,1),Data_Booking!$A:$A,"&lt;="&amp;TODAY())</f>
        <v>0</v>
      </c>
      <c r="G89" s="46">
        <f t="shared" ca="1" si="2"/>
        <v>0</v>
      </c>
      <c r="H89" s="42">
        <f ca="1">SUMIFS(Data_Booking!$D:$D,Data_Booking!$B:$B,$B89,Data_Booking!$A:$A,"&gt;="&amp;EOMONTH(TODAY(),-1)+1,Data_Booking!$A:$A,"&lt;="&amp;EOMONTH(TODAY(),0))</f>
        <v>0</v>
      </c>
    </row>
    <row r="90" spans="1:8" x14ac:dyDescent="0.35">
      <c r="A90" s="21"/>
      <c r="B90" s="18"/>
      <c r="C90" s="32"/>
      <c r="D90" s="18"/>
      <c r="E90" s="39"/>
      <c r="F90" s="39">
        <f ca="1">SUMIFS(Data_Booking!$D:$D,Data_Booking!$B:$B,$B90,Data_Booking!$A:$A,"&gt;="&amp;DATE(YEAR(TODAY()),1,1),Data_Booking!$A:$A,"&lt;="&amp;TODAY())</f>
        <v>0</v>
      </c>
      <c r="G90" s="46">
        <f t="shared" ca="1" si="2"/>
        <v>0</v>
      </c>
      <c r="H90" s="42">
        <f ca="1">SUMIFS(Data_Booking!$D:$D,Data_Booking!$B:$B,$B90,Data_Booking!$A:$A,"&gt;="&amp;EOMONTH(TODAY(),-1)+1,Data_Booking!$A:$A,"&lt;="&amp;EOMONTH(TODAY(),0))</f>
        <v>0</v>
      </c>
    </row>
    <row r="91" spans="1:8" x14ac:dyDescent="0.35">
      <c r="A91" s="21"/>
      <c r="B91" s="18"/>
      <c r="C91" s="32"/>
      <c r="D91" s="18"/>
      <c r="E91" s="39"/>
      <c r="F91" s="39">
        <f ca="1">SUMIFS(Data_Booking!$D:$D,Data_Booking!$B:$B,$B91,Data_Booking!$A:$A,"&gt;="&amp;DATE(YEAR(TODAY()),1,1),Data_Booking!$A:$A,"&lt;="&amp;TODAY())</f>
        <v>0</v>
      </c>
      <c r="G91" s="46">
        <f t="shared" ca="1" si="2"/>
        <v>0</v>
      </c>
      <c r="H91" s="42">
        <f ca="1">SUMIFS(Data_Booking!$D:$D,Data_Booking!$B:$B,$B91,Data_Booking!$A:$A,"&gt;="&amp;EOMONTH(TODAY(),-1)+1,Data_Booking!$A:$A,"&lt;="&amp;EOMONTH(TODAY(),0))</f>
        <v>0</v>
      </c>
    </row>
    <row r="92" spans="1:8" x14ac:dyDescent="0.35">
      <c r="A92" s="21"/>
      <c r="B92" s="18"/>
      <c r="C92" s="32"/>
      <c r="D92" s="18"/>
      <c r="E92" s="39"/>
      <c r="F92" s="39">
        <f ca="1">SUMIFS(Data_Booking!$D:$D,Data_Booking!$B:$B,$B92,Data_Booking!$A:$A,"&gt;="&amp;DATE(YEAR(TODAY()),1,1),Data_Booking!$A:$A,"&lt;="&amp;TODAY())</f>
        <v>0</v>
      </c>
      <c r="G92" s="46">
        <f t="shared" ca="1" si="2"/>
        <v>0</v>
      </c>
      <c r="H92" s="42">
        <f ca="1">SUMIFS(Data_Booking!$D:$D,Data_Booking!$B:$B,$B92,Data_Booking!$A:$A,"&gt;="&amp;EOMONTH(TODAY(),-1)+1,Data_Booking!$A:$A,"&lt;="&amp;EOMONTH(TODAY(),0))</f>
        <v>0</v>
      </c>
    </row>
    <row r="93" spans="1:8" x14ac:dyDescent="0.35">
      <c r="A93" s="21"/>
      <c r="B93" s="18"/>
      <c r="C93" s="32"/>
      <c r="D93" s="18"/>
      <c r="E93" s="39"/>
      <c r="F93" s="39">
        <f ca="1">SUMIFS(Data_Booking!$D:$D,Data_Booking!$B:$B,$B93,Data_Booking!$A:$A,"&gt;="&amp;DATE(YEAR(TODAY()),1,1),Data_Booking!$A:$A,"&lt;="&amp;TODAY())</f>
        <v>0</v>
      </c>
      <c r="G93" s="46">
        <f t="shared" ca="1" si="2"/>
        <v>0</v>
      </c>
      <c r="H93" s="42">
        <f ca="1">SUMIFS(Data_Booking!$D:$D,Data_Booking!$B:$B,$B93,Data_Booking!$A:$A,"&gt;="&amp;EOMONTH(TODAY(),-1)+1,Data_Booking!$A:$A,"&lt;="&amp;EOMONTH(TODAY(),0))</f>
        <v>0</v>
      </c>
    </row>
    <row r="94" spans="1:8" x14ac:dyDescent="0.35">
      <c r="A94" s="21"/>
      <c r="B94" s="18"/>
      <c r="C94" s="32"/>
      <c r="D94" s="18"/>
      <c r="E94" s="39"/>
      <c r="F94" s="39">
        <f ca="1">SUMIFS(Data_Booking!$D:$D,Data_Booking!$B:$B,$B94,Data_Booking!$A:$A,"&gt;="&amp;DATE(YEAR(TODAY()),1,1),Data_Booking!$A:$A,"&lt;="&amp;TODAY())</f>
        <v>0</v>
      </c>
      <c r="G94" s="46">
        <f t="shared" ca="1" si="2"/>
        <v>0</v>
      </c>
      <c r="H94" s="42">
        <f ca="1">SUMIFS(Data_Booking!$D:$D,Data_Booking!$B:$B,$B94,Data_Booking!$A:$A,"&gt;="&amp;EOMONTH(TODAY(),-1)+1,Data_Booking!$A:$A,"&lt;="&amp;EOMONTH(TODAY(),0))</f>
        <v>0</v>
      </c>
    </row>
    <row r="95" spans="1:8" x14ac:dyDescent="0.35">
      <c r="A95" s="21"/>
      <c r="B95" s="18"/>
      <c r="C95" s="32"/>
      <c r="D95" s="18"/>
      <c r="E95" s="39"/>
      <c r="F95" s="39">
        <f ca="1">SUMIFS(Data_Booking!$D:$D,Data_Booking!$B:$B,$B95,Data_Booking!$A:$A,"&gt;="&amp;DATE(YEAR(TODAY()),1,1),Data_Booking!$A:$A,"&lt;="&amp;TODAY())</f>
        <v>0</v>
      </c>
      <c r="G95" s="46">
        <f t="shared" ca="1" si="2"/>
        <v>0</v>
      </c>
      <c r="H95" s="42">
        <f ca="1">SUMIFS(Data_Booking!$D:$D,Data_Booking!$B:$B,$B95,Data_Booking!$A:$A,"&gt;="&amp;EOMONTH(TODAY(),-1)+1,Data_Booking!$A:$A,"&lt;="&amp;EOMONTH(TODAY(),0))</f>
        <v>0</v>
      </c>
    </row>
    <row r="96" spans="1:8" x14ac:dyDescent="0.35">
      <c r="A96" s="21"/>
      <c r="B96" s="18"/>
      <c r="C96" s="32"/>
      <c r="D96" s="18"/>
      <c r="E96" s="39"/>
      <c r="F96" s="39">
        <f ca="1">SUMIFS(Data_Booking!$D:$D,Data_Booking!$B:$B,$B96,Data_Booking!$A:$A,"&gt;="&amp;DATE(YEAR(TODAY()),1,1),Data_Booking!$A:$A,"&lt;="&amp;TODAY())</f>
        <v>0</v>
      </c>
      <c r="G96" s="46">
        <f t="shared" ca="1" si="2"/>
        <v>0</v>
      </c>
      <c r="H96" s="42">
        <f ca="1">SUMIFS(Data_Booking!$D:$D,Data_Booking!$B:$B,$B96,Data_Booking!$A:$A,"&gt;="&amp;EOMONTH(TODAY(),-1)+1,Data_Booking!$A:$A,"&lt;="&amp;EOMONTH(TODAY(),0))</f>
        <v>0</v>
      </c>
    </row>
    <row r="97" spans="1:8" x14ac:dyDescent="0.35">
      <c r="A97" s="21"/>
      <c r="B97" s="18"/>
      <c r="C97" s="32"/>
      <c r="D97" s="18"/>
      <c r="E97" s="39"/>
      <c r="F97" s="39">
        <f ca="1">SUMIFS(Data_Booking!$D:$D,Data_Booking!$B:$B,$B97,Data_Booking!$A:$A,"&gt;="&amp;DATE(YEAR(TODAY()),1,1),Data_Booking!$A:$A,"&lt;="&amp;TODAY())</f>
        <v>0</v>
      </c>
      <c r="G97" s="46">
        <f t="shared" ca="1" si="2"/>
        <v>0</v>
      </c>
      <c r="H97" s="42">
        <f ca="1">SUMIFS(Data_Booking!$D:$D,Data_Booking!$B:$B,$B97,Data_Booking!$A:$A,"&gt;="&amp;EOMONTH(TODAY(),-1)+1,Data_Booking!$A:$A,"&lt;="&amp;EOMONTH(TODAY(),0))</f>
        <v>0</v>
      </c>
    </row>
    <row r="98" spans="1:8" x14ac:dyDescent="0.35">
      <c r="A98" s="21"/>
      <c r="B98" s="18"/>
      <c r="C98" s="32"/>
      <c r="D98" s="18"/>
      <c r="E98" s="39"/>
      <c r="F98" s="39">
        <f ca="1">SUMIFS(Data_Booking!$D:$D,Data_Booking!$B:$B,$B98,Data_Booking!$A:$A,"&gt;="&amp;DATE(YEAR(TODAY()),1,1),Data_Booking!$A:$A,"&lt;="&amp;TODAY())</f>
        <v>0</v>
      </c>
      <c r="G98" s="46">
        <f t="shared" ref="G98:G100" ca="1" si="3">IFERROR(F98/E98,0)</f>
        <v>0</v>
      </c>
      <c r="H98" s="42">
        <f ca="1">SUMIFS(Data_Booking!$D:$D,Data_Booking!$B:$B,$B98,Data_Booking!$A:$A,"&gt;="&amp;EOMONTH(TODAY(),-1)+1,Data_Booking!$A:$A,"&lt;="&amp;EOMONTH(TODAY(),0))</f>
        <v>0</v>
      </c>
    </row>
    <row r="99" spans="1:8" x14ac:dyDescent="0.35">
      <c r="A99" s="21"/>
      <c r="B99" s="18"/>
      <c r="C99" s="32"/>
      <c r="D99" s="18"/>
      <c r="E99" s="39"/>
      <c r="F99" s="39">
        <f ca="1">SUMIFS(Data_Booking!$D:$D,Data_Booking!$B:$B,$B99,Data_Booking!$A:$A,"&gt;="&amp;DATE(YEAR(TODAY()),1,1),Data_Booking!$A:$A,"&lt;="&amp;TODAY())</f>
        <v>0</v>
      </c>
      <c r="G99" s="46">
        <f t="shared" ca="1" si="3"/>
        <v>0</v>
      </c>
      <c r="H99" s="42">
        <f ca="1">SUMIFS(Data_Booking!$D:$D,Data_Booking!$B:$B,$B99,Data_Booking!$A:$A,"&gt;="&amp;EOMONTH(TODAY(),-1)+1,Data_Booking!$A:$A,"&lt;="&amp;EOMONTH(TODAY(),0))</f>
        <v>0</v>
      </c>
    </row>
    <row r="100" spans="1:8" x14ac:dyDescent="0.35">
      <c r="A100" s="22"/>
      <c r="B100" s="23"/>
      <c r="C100" s="33"/>
      <c r="D100" s="23"/>
      <c r="E100" s="40"/>
      <c r="F100" s="40">
        <f ca="1">SUMIFS(Data_Booking!$D:$D,Data_Booking!$B:$B,$B100,Data_Booking!$A:$A,"&gt;="&amp;DATE(YEAR(TODAY()),1,1),Data_Booking!$A:$A,"&lt;="&amp;TODAY())</f>
        <v>0</v>
      </c>
      <c r="G100" s="48">
        <f t="shared" ca="1" si="3"/>
        <v>0</v>
      </c>
      <c r="H100" s="44">
        <f ca="1">SUMIFS(Data_Booking!$D:$D,Data_Booking!$B:$B,$B100,Data_Booking!$A:$A,"&gt;="&amp;EOMONTH(TODAY(),-1)+1,Data_Booking!$A:$A,"&lt;="&amp;EOMONTH(TODAY(),0))</f>
        <v>0</v>
      </c>
    </row>
  </sheetData>
  <conditionalFormatting sqref="G2:G100">
    <cfRule type="colorScale" priority="1">
      <colorScale>
        <cfvo type="min"/>
        <cfvo type="percentile" val="50"/>
        <cfvo type="max"/>
        <color rgb="FFF4CCCC"/>
        <color rgb="FFFFF2CC"/>
        <color rgb="FFD9EAD3"/>
      </colorScale>
    </cfRule>
  </conditionalFormatting>
  <dataValidations count="2">
    <dataValidation type="list" sqref="E2:E208" xr:uid="{00000000-0002-0000-0200-000000000000}">
      <formula1>"Yes,No"</formula1>
    </dataValidation>
    <dataValidation type="list" sqref="D2:D100" xr:uid="{00000000-0002-0000-0200-000001000000}">
      <formula1>"Active,Onboarding,Pending,Inactive"</formula1>
    </dataValidation>
  </dataValidations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dimension ref="A1:E6"/>
  <sheetViews>
    <sheetView workbookViewId="0"/>
  </sheetViews>
  <sheetFormatPr defaultColWidth="15.1796875" defaultRowHeight="14.5" x14ac:dyDescent="0.35"/>
  <cols>
    <col min="1" max="1" width="11" style="2" customWidth="1"/>
    <col min="2" max="2" width="20" style="2" customWidth="1"/>
    <col min="3" max="3" width="42" style="2" customWidth="1"/>
    <col min="4" max="4" width="34" style="2" customWidth="1"/>
    <col min="5" max="5" width="42" style="2" customWidth="1"/>
  </cols>
  <sheetData>
    <row r="1" spans="1:5" ht="22.4" customHeight="1" x14ac:dyDescent="0.35">
      <c r="A1" s="10" t="s">
        <v>32</v>
      </c>
      <c r="B1" s="10" t="s">
        <v>33</v>
      </c>
      <c r="C1" s="10" t="s">
        <v>34</v>
      </c>
      <c r="D1" s="10" t="s">
        <v>35</v>
      </c>
      <c r="E1" s="10" t="s">
        <v>36</v>
      </c>
    </row>
    <row r="2" spans="1:5" ht="23.4" customHeight="1" x14ac:dyDescent="0.35">
      <c r="A2" s="4" t="s">
        <v>37</v>
      </c>
      <c r="B2" s="5" t="s">
        <v>38</v>
      </c>
      <c r="C2" s="6" t="s">
        <v>39</v>
      </c>
      <c r="D2" s="6" t="s">
        <v>40</v>
      </c>
      <c r="E2" s="6" t="s">
        <v>41</v>
      </c>
    </row>
    <row r="3" spans="1:5" ht="23.4" customHeight="1" x14ac:dyDescent="0.35">
      <c r="A3" s="4" t="s">
        <v>42</v>
      </c>
      <c r="B3" s="5" t="s">
        <v>43</v>
      </c>
      <c r="C3" s="6" t="s">
        <v>44</v>
      </c>
      <c r="D3" s="6" t="s">
        <v>45</v>
      </c>
      <c r="E3" s="6" t="s">
        <v>46</v>
      </c>
    </row>
    <row r="4" spans="1:5" ht="23.4" customHeight="1" x14ac:dyDescent="0.35">
      <c r="A4" s="4" t="s">
        <v>47</v>
      </c>
      <c r="B4" s="5" t="s">
        <v>48</v>
      </c>
      <c r="C4" s="6" t="s">
        <v>49</v>
      </c>
      <c r="D4" s="6" t="s">
        <v>50</v>
      </c>
      <c r="E4" s="6" t="s">
        <v>51</v>
      </c>
    </row>
    <row r="5" spans="1:5" ht="15.65" customHeight="1" x14ac:dyDescent="0.35">
      <c r="A5" s="1"/>
      <c r="B5" s="1"/>
      <c r="C5" s="3"/>
      <c r="D5" s="7"/>
      <c r="E5" s="1"/>
    </row>
    <row r="6" spans="1:5" ht="15.65" customHeight="1" x14ac:dyDescent="0.35">
      <c r="A6" s="1"/>
      <c r="B6" s="1"/>
      <c r="C6" s="1"/>
      <c r="E6" s="1"/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dimension ref="A1:F4"/>
  <sheetViews>
    <sheetView workbookViewId="0"/>
  </sheetViews>
  <sheetFormatPr defaultRowHeight="14.5" x14ac:dyDescent="0.35"/>
  <cols>
    <col min="1" max="1" width="15" customWidth="1"/>
    <col min="2" max="2" width="18" customWidth="1"/>
    <col min="3" max="3" width="72.81640625" customWidth="1"/>
    <col min="4" max="4" width="12" customWidth="1"/>
    <col min="5" max="5" width="18" customWidth="1"/>
    <col min="6" max="6" width="12" customWidth="1"/>
  </cols>
  <sheetData>
    <row r="1" spans="1:6" x14ac:dyDescent="0.35">
      <c r="A1" s="11" t="s">
        <v>52</v>
      </c>
      <c r="B1" s="11" t="s">
        <v>53</v>
      </c>
      <c r="C1" s="11" t="s">
        <v>54</v>
      </c>
      <c r="D1" s="11" t="s">
        <v>55</v>
      </c>
      <c r="E1" s="11" t="s">
        <v>56</v>
      </c>
      <c r="F1" s="11" t="s">
        <v>5</v>
      </c>
    </row>
    <row r="2" spans="1:6" x14ac:dyDescent="0.35">
      <c r="A2" t="s">
        <v>57</v>
      </c>
      <c r="B2" t="s">
        <v>58</v>
      </c>
      <c r="C2" s="12" t="s">
        <v>59</v>
      </c>
      <c r="D2" t="s">
        <v>60</v>
      </c>
      <c r="E2" t="s">
        <v>11</v>
      </c>
      <c r="F2" t="s">
        <v>24</v>
      </c>
    </row>
    <row r="3" spans="1:6" x14ac:dyDescent="0.35">
      <c r="A3" t="s">
        <v>61</v>
      </c>
      <c r="B3" t="s">
        <v>62</v>
      </c>
      <c r="C3" t="s">
        <v>63</v>
      </c>
      <c r="D3" t="s">
        <v>60</v>
      </c>
      <c r="E3" t="s">
        <v>11</v>
      </c>
      <c r="F3" t="s">
        <v>24</v>
      </c>
    </row>
    <row r="4" spans="1:6" x14ac:dyDescent="0.35">
      <c r="A4" t="s">
        <v>64</v>
      </c>
      <c r="B4" s="12" t="s">
        <v>65</v>
      </c>
      <c r="C4" s="12" t="s">
        <v>66</v>
      </c>
      <c r="D4" s="12" t="s">
        <v>67</v>
      </c>
      <c r="E4" s="12" t="s">
        <v>11</v>
      </c>
      <c r="F4" t="s">
        <v>24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dimension ref="A1:N60"/>
  <sheetViews>
    <sheetView workbookViewId="0"/>
  </sheetViews>
  <sheetFormatPr defaultRowHeight="14.5" x14ac:dyDescent="0.35"/>
  <cols>
    <col min="1" max="2" width="18" customWidth="1"/>
    <col min="3" max="3" width="12" customWidth="1"/>
    <col min="4" max="4" width="22" customWidth="1"/>
    <col min="5" max="7" width="18" customWidth="1"/>
    <col min="8" max="10" width="12" customWidth="1"/>
    <col min="11" max="11" width="28" customWidth="1"/>
    <col min="12" max="14" width="12" customWidth="1"/>
  </cols>
  <sheetData>
    <row r="1" spans="1:14" ht="13.4" customHeight="1" x14ac:dyDescent="0.35">
      <c r="A1" s="134" t="s">
        <v>74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</row>
    <row r="2" spans="1:14" ht="13.4" customHeight="1" x14ac:dyDescent="0.35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</row>
    <row r="3" spans="1:14" ht="13.4" customHeight="1" x14ac:dyDescent="0.35">
      <c r="A3" s="135" t="s">
        <v>75</v>
      </c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1:14" ht="13.4" customHeight="1" x14ac:dyDescent="0.3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4" ht="13.4" customHeight="1" x14ac:dyDescent="0.35">
      <c r="A5" s="145" t="s">
        <v>76</v>
      </c>
      <c r="B5" s="146"/>
      <c r="C5" s="147"/>
      <c r="D5" s="50"/>
      <c r="E5" s="157" t="s">
        <v>77</v>
      </c>
      <c r="F5" s="158"/>
      <c r="G5" s="159"/>
      <c r="H5" s="50"/>
      <c r="I5" s="169" t="s">
        <v>78</v>
      </c>
      <c r="J5" s="170"/>
      <c r="K5" s="171"/>
      <c r="L5" s="50"/>
      <c r="M5" s="178" t="s">
        <v>79</v>
      </c>
      <c r="N5" s="179"/>
    </row>
    <row r="6" spans="1:14" ht="13.4" customHeight="1" x14ac:dyDescent="0.35">
      <c r="A6" s="136">
        <f>COUNTIF(Data_CustomerActive!$D$2:$D$100,"Active")</f>
        <v>5</v>
      </c>
      <c r="B6" s="137"/>
      <c r="C6" s="138"/>
      <c r="D6" s="50"/>
      <c r="E6" s="148">
        <f>IFERROR(COUNTIF(Data_CustomerActive!$D$2:$D$100,"Active")/COUNTA(Data_CustomerActive!$A$2:$A$100),0)</f>
        <v>1</v>
      </c>
      <c r="F6" s="149"/>
      <c r="G6" s="150"/>
      <c r="H6" s="50"/>
      <c r="I6" s="160">
        <f ca="1">SUM(Data_CustomerActive!$F$2:$F$100)</f>
        <v>25</v>
      </c>
      <c r="J6" s="161"/>
      <c r="K6" s="162"/>
      <c r="L6" s="50"/>
      <c r="M6" s="172">
        <f ca="1">IFERROR(SUM(Data_CustomerActive!$F$2:$F$100)/SUM(Data_CustomerActive!$E$2:$E$100),0)</f>
        <v>5.5555555555555552E-2</v>
      </c>
      <c r="N6" s="173"/>
    </row>
    <row r="7" spans="1:14" ht="13.4" customHeight="1" x14ac:dyDescent="0.35">
      <c r="A7" s="139"/>
      <c r="B7" s="140"/>
      <c r="C7" s="141"/>
      <c r="D7" s="50"/>
      <c r="E7" s="151"/>
      <c r="F7" s="152"/>
      <c r="G7" s="153"/>
      <c r="H7" s="50"/>
      <c r="I7" s="163"/>
      <c r="J7" s="164"/>
      <c r="K7" s="165"/>
      <c r="L7" s="50"/>
      <c r="M7" s="174"/>
      <c r="N7" s="175"/>
    </row>
    <row r="8" spans="1:14" ht="13.4" customHeight="1" x14ac:dyDescent="0.35">
      <c r="A8" s="142"/>
      <c r="B8" s="143"/>
      <c r="C8" s="144"/>
      <c r="D8" s="50"/>
      <c r="E8" s="154"/>
      <c r="F8" s="155"/>
      <c r="G8" s="156"/>
      <c r="H8" s="50"/>
      <c r="I8" s="166"/>
      <c r="J8" s="167"/>
      <c r="K8" s="168"/>
      <c r="L8" s="50"/>
      <c r="M8" s="176"/>
      <c r="N8" s="177"/>
    </row>
    <row r="9" spans="1:14" ht="13.4" customHeight="1" x14ac:dyDescent="0.3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</row>
    <row r="10" spans="1:14" ht="13.4" customHeight="1" x14ac:dyDescent="0.35">
      <c r="A10" s="118" t="s">
        <v>80</v>
      </c>
      <c r="B10" s="119"/>
      <c r="C10" s="120"/>
      <c r="D10" s="50"/>
      <c r="E10" s="118" t="s">
        <v>81</v>
      </c>
      <c r="F10" s="119"/>
      <c r="G10" s="120"/>
      <c r="H10" s="50"/>
      <c r="I10" s="131" t="s">
        <v>82</v>
      </c>
      <c r="J10" s="132"/>
      <c r="K10" s="133"/>
      <c r="L10" s="50"/>
      <c r="M10" s="106" t="s">
        <v>83</v>
      </c>
      <c r="N10" s="107"/>
    </row>
    <row r="11" spans="1:14" ht="13.4" customHeight="1" x14ac:dyDescent="0.35">
      <c r="A11" s="109">
        <f ca="1">SUM(Data_CustomerActive!$H$2:$H$100)</f>
        <v>25</v>
      </c>
      <c r="B11" s="110"/>
      <c r="C11" s="111"/>
      <c r="D11" s="50"/>
      <c r="E11" s="121">
        <f>IFERROR(AVERAGE(Data_Booking!$E$2:$E$1000),0)</f>
        <v>4.6428571428571432</v>
      </c>
      <c r="F11" s="110"/>
      <c r="G11" s="111"/>
      <c r="H11" s="50"/>
      <c r="I11" s="122">
        <f>COUNTIF(Data_Booking!$G$2:$G$1000,"Yes")</f>
        <v>6</v>
      </c>
      <c r="J11" s="123"/>
      <c r="K11" s="124"/>
      <c r="L11" s="50"/>
      <c r="M11" s="100">
        <f>COUNTA(Data_Issue!$A$2:$A$100)</f>
        <v>3</v>
      </c>
      <c r="N11" s="101"/>
    </row>
    <row r="12" spans="1:14" ht="13.4" customHeight="1" x14ac:dyDescent="0.35">
      <c r="A12" s="112"/>
      <c r="B12" s="113"/>
      <c r="C12" s="114"/>
      <c r="D12" s="50"/>
      <c r="E12" s="112"/>
      <c r="F12" s="113"/>
      <c r="G12" s="114"/>
      <c r="H12" s="50"/>
      <c r="I12" s="125"/>
      <c r="J12" s="126"/>
      <c r="K12" s="127"/>
      <c r="L12" s="50"/>
      <c r="M12" s="102"/>
      <c r="N12" s="103"/>
    </row>
    <row r="13" spans="1:14" ht="13.4" customHeight="1" x14ac:dyDescent="0.35">
      <c r="A13" s="115"/>
      <c r="B13" s="116"/>
      <c r="C13" s="117"/>
      <c r="D13" s="50"/>
      <c r="E13" s="115"/>
      <c r="F13" s="116"/>
      <c r="G13" s="117"/>
      <c r="H13" s="50"/>
      <c r="I13" s="128"/>
      <c r="J13" s="129"/>
      <c r="K13" s="130"/>
      <c r="L13" s="50"/>
      <c r="M13" s="104"/>
      <c r="N13" s="105"/>
    </row>
    <row r="14" spans="1:14" ht="13.4" customHeight="1" x14ac:dyDescent="0.35">
      <c r="A14" s="50"/>
      <c r="B14" s="50"/>
      <c r="C14" s="50"/>
      <c r="D14" s="50"/>
      <c r="E14" s="50"/>
      <c r="F14" s="50"/>
      <c r="G14" s="50"/>
      <c r="H14" s="50"/>
      <c r="I14" s="50"/>
      <c r="J14" s="50"/>
      <c r="K14" s="50"/>
      <c r="L14" s="50"/>
      <c r="M14" s="50"/>
      <c r="N14" s="50"/>
    </row>
    <row r="15" spans="1:14" ht="13.4" customHeight="1" x14ac:dyDescent="0.35">
      <c r="A15" s="108" t="s">
        <v>84</v>
      </c>
      <c r="B15" s="108"/>
      <c r="C15" s="108"/>
      <c r="D15" s="108"/>
      <c r="E15" s="108"/>
      <c r="F15" s="108"/>
      <c r="G15" s="108"/>
      <c r="H15" s="50"/>
      <c r="I15" s="108" t="s">
        <v>85</v>
      </c>
      <c r="J15" s="108"/>
      <c r="K15" s="108"/>
      <c r="L15" s="108"/>
      <c r="M15" s="108"/>
      <c r="N15" s="108"/>
    </row>
    <row r="16" spans="1:14" ht="13.4" customHeight="1" x14ac:dyDescent="0.3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</row>
    <row r="17" spans="1:14" ht="13.4" customHeight="1" x14ac:dyDescent="0.3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</row>
    <row r="18" spans="1:14" ht="13.4" customHeight="1" x14ac:dyDescent="0.3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</row>
    <row r="19" spans="1:14" ht="13.4" customHeight="1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1:14" ht="13.4" customHeight="1" x14ac:dyDescent="0.3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1:14" ht="13.4" customHeight="1" x14ac:dyDescent="0.3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3.4" customHeight="1" x14ac:dyDescent="0.3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ht="13.4" customHeight="1" x14ac:dyDescent="0.3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1:14" ht="13.4" customHeight="1" x14ac:dyDescent="0.3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1:14" ht="13.4" customHeight="1" x14ac:dyDescent="0.3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</row>
    <row r="26" spans="1:14" ht="13.4" customHeight="1" x14ac:dyDescent="0.3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ht="13.4" customHeight="1" x14ac:dyDescent="0.3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14" ht="13.4" customHeight="1" x14ac:dyDescent="0.3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</row>
    <row r="29" spans="1:14" ht="13.4" customHeight="1" x14ac:dyDescent="0.3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0" spans="1:14" ht="13.4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spans="1:14" ht="13.4" customHeight="1" x14ac:dyDescent="0.35">
      <c r="A31" s="108" t="s">
        <v>86</v>
      </c>
      <c r="B31" s="108"/>
      <c r="C31" s="108"/>
      <c r="D31" s="108"/>
      <c r="E31" s="108"/>
      <c r="F31" s="108"/>
      <c r="G31" s="108"/>
      <c r="H31" s="108"/>
      <c r="I31" s="108"/>
      <c r="J31" s="108"/>
      <c r="K31" s="108"/>
      <c r="L31" s="108"/>
      <c r="M31" s="108"/>
      <c r="N31" s="108"/>
    </row>
    <row r="32" spans="1:14" ht="13.4" customHeight="1" x14ac:dyDescent="0.35">
      <c r="A32" s="49" t="s">
        <v>87</v>
      </c>
      <c r="B32" s="49" t="s">
        <v>88</v>
      </c>
      <c r="C32" s="49" t="s">
        <v>89</v>
      </c>
      <c r="D32" s="93" t="s">
        <v>90</v>
      </c>
      <c r="E32" s="93"/>
      <c r="F32" s="93"/>
      <c r="G32" s="93"/>
      <c r="H32" s="93"/>
      <c r="I32" s="93"/>
      <c r="J32" s="93"/>
      <c r="K32" s="93"/>
      <c r="L32" s="93"/>
      <c r="M32" s="93"/>
      <c r="N32" s="93"/>
    </row>
    <row r="33" spans="1:14" ht="13.4" customHeight="1" x14ac:dyDescent="0.35">
      <c r="A33" s="51" t="s">
        <v>91</v>
      </c>
      <c r="B33" s="52" t="s">
        <v>92</v>
      </c>
      <c r="C33" s="53">
        <f ca="1">IFERROR(SUM(Data_CustomerActive!$F$2:$F$100)/SUM(Data_CustomerActive!$E$2:$E$100),0)</f>
        <v>5.5555555555555552E-2</v>
      </c>
      <c r="D33" s="94" t="s">
        <v>93</v>
      </c>
      <c r="E33" s="94"/>
      <c r="F33" s="94"/>
      <c r="G33" s="94"/>
      <c r="H33" s="94"/>
      <c r="I33" s="94"/>
      <c r="J33" s="94"/>
      <c r="K33" s="94"/>
      <c r="L33" s="94"/>
      <c r="M33" s="94"/>
      <c r="N33" s="95"/>
    </row>
    <row r="34" spans="1:14" ht="13.4" customHeight="1" x14ac:dyDescent="0.35">
      <c r="A34" s="54" t="s">
        <v>94</v>
      </c>
      <c r="B34" s="55" t="s">
        <v>95</v>
      </c>
      <c r="C34" s="56">
        <f>COUNTIF(Data_Booking!$G$2:$G$1000,"Yes")</f>
        <v>6</v>
      </c>
      <c r="D34" s="96" t="s">
        <v>96</v>
      </c>
      <c r="E34" s="96"/>
      <c r="F34" s="96"/>
      <c r="G34" s="96"/>
      <c r="H34" s="96"/>
      <c r="I34" s="96"/>
      <c r="J34" s="96"/>
      <c r="K34" s="96"/>
      <c r="L34" s="96"/>
      <c r="M34" s="96"/>
      <c r="N34" s="97"/>
    </row>
    <row r="35" spans="1:14" ht="13.4" customHeight="1" x14ac:dyDescent="0.35">
      <c r="A35" s="57" t="s">
        <v>97</v>
      </c>
      <c r="B35" s="58" t="s">
        <v>98</v>
      </c>
      <c r="C35" s="59">
        <f ca="1">COUNTIFS(Data_CustomerActive!$D$2:$D$100,"Active",Data_CustomerActive!$F$2:$F$100,0)</f>
        <v>3</v>
      </c>
      <c r="D35" s="98" t="s">
        <v>99</v>
      </c>
      <c r="E35" s="98"/>
      <c r="F35" s="98"/>
      <c r="G35" s="98"/>
      <c r="H35" s="98"/>
      <c r="I35" s="98"/>
      <c r="J35" s="98"/>
      <c r="K35" s="98"/>
      <c r="L35" s="98"/>
      <c r="M35" s="98"/>
      <c r="N35" s="99"/>
    </row>
    <row r="36" spans="1:14" ht="13.4" customHeight="1" x14ac:dyDescent="0.3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</row>
    <row r="37" spans="1:14" ht="13.4" customHeight="1" x14ac:dyDescent="0.3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</row>
    <row r="38" spans="1:14" ht="13.4" customHeight="1" x14ac:dyDescent="0.3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</row>
    <row r="39" spans="1:14" ht="13.4" customHeight="1" x14ac:dyDescent="0.3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</row>
    <row r="40" spans="1:14" ht="13.4" customHeight="1" x14ac:dyDescent="0.35">
      <c r="A40" s="60" t="s">
        <v>1</v>
      </c>
      <c r="B40" s="60" t="s">
        <v>100</v>
      </c>
      <c r="C40" s="60" t="s">
        <v>101</v>
      </c>
      <c r="D40" s="60"/>
      <c r="E40" s="60"/>
      <c r="F40" s="60"/>
      <c r="G40" s="60"/>
      <c r="H40" s="60"/>
      <c r="I40" s="60" t="s">
        <v>1</v>
      </c>
      <c r="J40" s="60" t="s">
        <v>102</v>
      </c>
      <c r="K40" s="50"/>
      <c r="L40" s="50"/>
      <c r="M40" s="50"/>
      <c r="N40" s="50"/>
    </row>
    <row r="41" spans="1:14" ht="13.4" customHeight="1" x14ac:dyDescent="0.35">
      <c r="A41" s="60" t="s">
        <v>11</v>
      </c>
      <c r="B41" s="60">
        <f>IFERROR(INDEX(Data_CustomerActive!$E$2:$E$100,MATCH(A41,Data_CustomerActive!$B$2:$B$100,0)),0)</f>
        <v>400</v>
      </c>
      <c r="C41" s="60">
        <f ca="1">IFERROR(INDEX(Data_CustomerActive!$F$2:$F$100,MATCH(A41,Data_CustomerActive!$B$2:$B$100,0)),0)</f>
        <v>20</v>
      </c>
      <c r="D41" s="60"/>
      <c r="E41" s="60"/>
      <c r="F41" s="60"/>
      <c r="G41" s="60"/>
      <c r="H41" s="60"/>
      <c r="I41" s="60" t="s">
        <v>11</v>
      </c>
      <c r="J41" s="60">
        <f>SUMIF(Data_Booking!$B$2:$B$1000,I41,Data_Booking!$D$2:$D$1000)</f>
        <v>20</v>
      </c>
      <c r="K41" s="50"/>
      <c r="L41" s="50"/>
      <c r="M41" s="50"/>
      <c r="N41" s="50"/>
    </row>
    <row r="42" spans="1:14" ht="13.4" customHeight="1" x14ac:dyDescent="0.35">
      <c r="A42" s="60" t="s">
        <v>20</v>
      </c>
      <c r="B42" s="60">
        <f>IFERROR(INDEX(Data_CustomerActive!$E$2:$E$100,MATCH(A42,Data_CustomerActive!$B$2:$B$100,0)),0)</f>
        <v>50</v>
      </c>
      <c r="C42" s="60">
        <f ca="1">IFERROR(INDEX(Data_CustomerActive!$F$2:$F$100,MATCH(A42,Data_CustomerActive!$B$2:$B$100,0)),0)</f>
        <v>5</v>
      </c>
      <c r="D42" s="60"/>
      <c r="E42" s="60"/>
      <c r="F42" s="60"/>
      <c r="G42" s="60"/>
      <c r="H42" s="60"/>
      <c r="I42" s="60" t="s">
        <v>20</v>
      </c>
      <c r="J42" s="60">
        <f>SUMIF(Data_Booking!$B$2:$B$1000,I42,Data_Booking!$D$2:$D$1000)</f>
        <v>5</v>
      </c>
      <c r="K42" s="50"/>
      <c r="L42" s="50"/>
      <c r="M42" s="50"/>
      <c r="N42" s="50"/>
    </row>
    <row r="43" spans="1:14" ht="13.4" customHeight="1" x14ac:dyDescent="0.35">
      <c r="A43" s="60" t="s">
        <v>27</v>
      </c>
      <c r="B43" s="60">
        <f>IFERROR(INDEX(Data_CustomerActive!$E$2:$E$100,MATCH(A43,Data_CustomerActive!$B$2:$B$100,0)),0)</f>
        <v>0</v>
      </c>
      <c r="C43" s="60">
        <f ca="1">IFERROR(INDEX(Data_CustomerActive!$F$2:$F$100,MATCH(A43,Data_CustomerActive!$B$2:$B$100,0)),0)</f>
        <v>0</v>
      </c>
      <c r="D43" s="60"/>
      <c r="E43" s="60"/>
      <c r="F43" s="60"/>
      <c r="G43" s="60"/>
      <c r="H43" s="60"/>
      <c r="I43" s="60" t="s">
        <v>27</v>
      </c>
      <c r="J43" s="60">
        <f>SUMIF(Data_Booking!$B$2:$B$1000,I43,Data_Booking!$D$2:$D$1000)</f>
        <v>0</v>
      </c>
      <c r="K43" s="50"/>
      <c r="L43" s="50"/>
      <c r="M43" s="50"/>
      <c r="N43" s="50"/>
    </row>
    <row r="44" spans="1:14" ht="13.4" customHeight="1" x14ac:dyDescent="0.35">
      <c r="A44" s="60" t="s">
        <v>29</v>
      </c>
      <c r="B44" s="60">
        <f>IFERROR(INDEX(Data_CustomerActive!$E$2:$E$100,MATCH(A44,Data_CustomerActive!$B$2:$B$100,0)),0)</f>
        <v>0</v>
      </c>
      <c r="C44" s="60">
        <f ca="1">IFERROR(INDEX(Data_CustomerActive!$F$2:$F$100,MATCH(A44,Data_CustomerActive!$B$2:$B$100,0)),0)</f>
        <v>0</v>
      </c>
      <c r="D44" s="60"/>
      <c r="E44" s="60"/>
      <c r="F44" s="60"/>
      <c r="G44" s="60"/>
      <c r="H44" s="60"/>
      <c r="I44" s="60" t="s">
        <v>29</v>
      </c>
      <c r="J44" s="60">
        <f>SUMIF(Data_Booking!$B$2:$B$1000,I44,Data_Booking!$D$2:$D$1000)</f>
        <v>0</v>
      </c>
      <c r="K44" s="50"/>
      <c r="L44" s="50"/>
      <c r="M44" s="50"/>
      <c r="N44" s="50"/>
    </row>
    <row r="45" spans="1:14" ht="13.4" customHeight="1" x14ac:dyDescent="0.35">
      <c r="A45" s="60" t="s">
        <v>31</v>
      </c>
      <c r="B45" s="60">
        <f>IFERROR(INDEX(Data_CustomerActive!$E$2:$E$100,MATCH(A45,Data_CustomerActive!$B$2:$B$100,0)),0)</f>
        <v>0</v>
      </c>
      <c r="C45" s="60">
        <f ca="1">IFERROR(INDEX(Data_CustomerActive!$F$2:$F$100,MATCH(A45,Data_CustomerActive!$B$2:$B$100,0)),0)</f>
        <v>0</v>
      </c>
      <c r="D45" s="60"/>
      <c r="E45" s="60"/>
      <c r="F45" s="60"/>
      <c r="G45" s="60"/>
      <c r="H45" s="60"/>
      <c r="I45" s="60" t="s">
        <v>31</v>
      </c>
      <c r="J45" s="60">
        <f>SUMIF(Data_Booking!$B$2:$B$1000,I45,Data_Booking!$D$2:$D$1000)</f>
        <v>0</v>
      </c>
      <c r="K45" s="50"/>
      <c r="L45" s="50"/>
      <c r="M45" s="50"/>
      <c r="N45" s="50"/>
    </row>
    <row r="46" spans="1:14" ht="13.4" customHeight="1" x14ac:dyDescent="0.3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1:14" ht="13.4" customHeight="1" x14ac:dyDescent="0.3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1:14" ht="13.4" customHeight="1" x14ac:dyDescent="0.3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1:14" ht="13.4" customHeight="1" x14ac:dyDescent="0.3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1:14" ht="13.4" customHeight="1" x14ac:dyDescent="0.3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1:14" ht="13.4" customHeight="1" x14ac:dyDescent="0.3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2" spans="1:14" ht="13.4" customHeight="1" x14ac:dyDescent="0.3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</row>
    <row r="53" spans="1:14" ht="13.4" customHeight="1" x14ac:dyDescent="0.3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</row>
    <row r="54" spans="1:14" ht="13.4" customHeight="1" x14ac:dyDescent="0.3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</row>
    <row r="55" spans="1:14" ht="13.4" customHeight="1" x14ac:dyDescent="0.3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</row>
    <row r="56" spans="1:14" ht="13.4" customHeight="1" x14ac:dyDescent="0.3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</row>
    <row r="57" spans="1:14" ht="13.4" customHeight="1" x14ac:dyDescent="0.3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</row>
    <row r="58" spans="1:14" ht="13.4" customHeight="1" x14ac:dyDescent="0.3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</row>
    <row r="59" spans="1:14" ht="13.4" customHeight="1" x14ac:dyDescent="0.3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</row>
    <row r="60" spans="1:14" ht="13.4" customHeight="1" x14ac:dyDescent="0.3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</row>
  </sheetData>
  <mergeCells count="25">
    <mergeCell ref="A1:N2"/>
    <mergeCell ref="A3:N3"/>
    <mergeCell ref="A6:C8"/>
    <mergeCell ref="A5:C5"/>
    <mergeCell ref="E6:G8"/>
    <mergeCell ref="E5:G5"/>
    <mergeCell ref="I6:K8"/>
    <mergeCell ref="I5:K5"/>
    <mergeCell ref="M6:N8"/>
    <mergeCell ref="M5:N5"/>
    <mergeCell ref="M10:N10"/>
    <mergeCell ref="A15:G15"/>
    <mergeCell ref="I15:N15"/>
    <mergeCell ref="A31:N31"/>
    <mergeCell ref="A11:C13"/>
    <mergeCell ref="A10:C10"/>
    <mergeCell ref="E11:G13"/>
    <mergeCell ref="E10:G10"/>
    <mergeCell ref="I11:K13"/>
    <mergeCell ref="I10:K10"/>
    <mergeCell ref="D32:N32"/>
    <mergeCell ref="D33:N33"/>
    <mergeCell ref="D34:N34"/>
    <mergeCell ref="D35:N35"/>
    <mergeCell ref="M11:N1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N60"/>
  <sheetViews>
    <sheetView workbookViewId="0"/>
  </sheetViews>
  <sheetFormatPr defaultRowHeight="14.5" x14ac:dyDescent="0.35"/>
  <cols>
    <col min="1" max="1" width="42" customWidth="1"/>
    <col min="2" max="2" width="14" customWidth="1"/>
    <col min="3" max="3" width="18" customWidth="1"/>
    <col min="4" max="4" width="22" customWidth="1"/>
    <col min="5" max="7" width="18" customWidth="1"/>
    <col min="8" max="10" width="12" customWidth="1"/>
    <col min="11" max="11" width="28" customWidth="1"/>
    <col min="12" max="14" width="12" customWidth="1"/>
  </cols>
  <sheetData>
    <row r="1" spans="1:14" ht="13.4" customHeight="1" x14ac:dyDescent="0.35">
      <c r="A1" s="134" t="s">
        <v>103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</row>
    <row r="2" spans="1:14" ht="13.4" customHeight="1" x14ac:dyDescent="0.35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</row>
    <row r="3" spans="1:14" ht="13.4" customHeight="1" x14ac:dyDescent="0.35">
      <c r="A3" s="135" t="s">
        <v>104</v>
      </c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1:14" ht="13.4" customHeight="1" x14ac:dyDescent="0.3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4" ht="13.4" customHeight="1" x14ac:dyDescent="0.35">
      <c r="A5" s="145" t="s">
        <v>105</v>
      </c>
      <c r="B5" s="146"/>
      <c r="C5" s="147"/>
      <c r="D5" s="50"/>
      <c r="E5" s="157" t="s">
        <v>76</v>
      </c>
      <c r="F5" s="158"/>
      <c r="G5" s="159"/>
      <c r="H5" s="50"/>
      <c r="I5" s="169" t="s">
        <v>106</v>
      </c>
      <c r="J5" s="170"/>
      <c r="K5" s="171"/>
      <c r="L5" s="50"/>
      <c r="M5" s="178" t="s">
        <v>107</v>
      </c>
      <c r="N5" s="179"/>
    </row>
    <row r="6" spans="1:14" ht="13.4" customHeight="1" x14ac:dyDescent="0.35">
      <c r="A6" s="136">
        <f>COUNTA(Data_CustomerActive!$A$2:$A$100)</f>
        <v>5</v>
      </c>
      <c r="B6" s="137"/>
      <c r="C6" s="138"/>
      <c r="D6" s="50"/>
      <c r="E6" s="181">
        <f>COUNTIF(Data_CustomerActive!$D$2:$D$100,"Active")</f>
        <v>5</v>
      </c>
      <c r="F6" s="149"/>
      <c r="G6" s="150"/>
      <c r="H6" s="50"/>
      <c r="I6" s="160">
        <f>SUM(Data_CustomerActive!$E$2:$E$100)</f>
        <v>450</v>
      </c>
      <c r="J6" s="161"/>
      <c r="K6" s="162"/>
      <c r="L6" s="50"/>
      <c r="M6" s="182">
        <f ca="1">SUM(Data_CustomerActive!$F$2:$F$100)</f>
        <v>25</v>
      </c>
      <c r="N6" s="173"/>
    </row>
    <row r="7" spans="1:14" ht="13.4" customHeight="1" x14ac:dyDescent="0.35">
      <c r="A7" s="139"/>
      <c r="B7" s="140"/>
      <c r="C7" s="141"/>
      <c r="D7" s="50"/>
      <c r="E7" s="151"/>
      <c r="F7" s="152"/>
      <c r="G7" s="153"/>
      <c r="H7" s="50"/>
      <c r="I7" s="163"/>
      <c r="J7" s="164"/>
      <c r="K7" s="165"/>
      <c r="L7" s="50"/>
      <c r="M7" s="174"/>
      <c r="N7" s="175"/>
    </row>
    <row r="8" spans="1:14" ht="13.4" customHeight="1" x14ac:dyDescent="0.35">
      <c r="A8" s="142"/>
      <c r="B8" s="143"/>
      <c r="C8" s="144"/>
      <c r="D8" s="50"/>
      <c r="E8" s="154"/>
      <c r="F8" s="155"/>
      <c r="G8" s="156"/>
      <c r="H8" s="50"/>
      <c r="I8" s="166"/>
      <c r="J8" s="167"/>
      <c r="K8" s="168"/>
      <c r="L8" s="50"/>
      <c r="M8" s="176"/>
      <c r="N8" s="177"/>
    </row>
    <row r="9" spans="1:14" ht="13.4" customHeight="1" x14ac:dyDescent="0.3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</row>
    <row r="10" spans="1:14" ht="13.4" customHeight="1" x14ac:dyDescent="0.3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</row>
    <row r="11" spans="1:14" ht="13.4" customHeight="1" x14ac:dyDescent="0.35">
      <c r="A11" s="180" t="s">
        <v>108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</row>
    <row r="12" spans="1:14" ht="13.4" customHeight="1" x14ac:dyDescent="0.35">
      <c r="A12" s="61" t="s">
        <v>1</v>
      </c>
      <c r="B12" s="61" t="s">
        <v>109</v>
      </c>
      <c r="C12" s="61" t="s">
        <v>69</v>
      </c>
      <c r="D12" s="61" t="s">
        <v>5</v>
      </c>
      <c r="E12" s="61" t="s">
        <v>110</v>
      </c>
      <c r="F12" s="61" t="s">
        <v>101</v>
      </c>
      <c r="G12" s="61" t="s">
        <v>111</v>
      </c>
      <c r="H12" s="61" t="s">
        <v>73</v>
      </c>
      <c r="I12" s="50"/>
      <c r="J12" s="50"/>
      <c r="K12" s="50"/>
      <c r="L12" s="50"/>
      <c r="M12" s="50"/>
      <c r="N12" s="50"/>
    </row>
    <row r="13" spans="1:14" ht="13.4" customHeight="1" x14ac:dyDescent="0.35">
      <c r="A13" s="62" t="s">
        <v>23</v>
      </c>
      <c r="B13" s="63" t="s">
        <v>11</v>
      </c>
      <c r="C13" s="64">
        <f>IFERROR(INDEX(Data_CustomerActive!$C$2:$C$100,MATCH(B13,Data_CustomerActive!$B$2:$B$100,0)),"")</f>
        <v>46076</v>
      </c>
      <c r="D13" s="63" t="str">
        <f>IFERROR(INDEX(Data_CustomerActive!$D$2:$D$100,MATCH(B13,Data_CustomerActive!$B$2:$B$100,0)),"")</f>
        <v>Active</v>
      </c>
      <c r="E13" s="63">
        <f>IFERROR(INDEX(Data_CustomerActive!$E$2:$E$100,MATCH(B13,Data_CustomerActive!$B$2:$B$100,0)),0)</f>
        <v>400</v>
      </c>
      <c r="F13" s="63">
        <f ca="1">IFERROR(INDEX(Data_CustomerActive!$F$2:$F$100,MATCH(B13,Data_CustomerActive!$B$2:$B$100,0)),0)</f>
        <v>20</v>
      </c>
      <c r="G13" s="65">
        <f ca="1">IFERROR(F13/E13,0)</f>
        <v>0.05</v>
      </c>
      <c r="H13" s="66">
        <f ca="1">IFERROR(INDEX(Data_CustomerActive!$H$2:$H$100,MATCH(B13,Data_CustomerActive!$B$2:$B$100,0)),0)</f>
        <v>20</v>
      </c>
      <c r="I13" s="50"/>
      <c r="J13" s="50"/>
      <c r="K13" s="50"/>
      <c r="L13" s="50"/>
      <c r="M13" s="50"/>
      <c r="N13" s="50"/>
    </row>
    <row r="14" spans="1:14" ht="13.4" customHeight="1" x14ac:dyDescent="0.35">
      <c r="A14" s="67" t="s">
        <v>25</v>
      </c>
      <c r="B14" s="50" t="s">
        <v>20</v>
      </c>
      <c r="C14" s="68">
        <f>IFERROR(INDEX(Data_CustomerActive!$C$2:$C$100,MATCH(B14,Data_CustomerActive!$B$2:$B$100,0)),"")</f>
        <v>46226</v>
      </c>
      <c r="D14" s="50" t="str">
        <f>IFERROR(INDEX(Data_CustomerActive!$D$2:$D$100,MATCH(B14,Data_CustomerActive!$B$2:$B$100,0)),"")</f>
        <v>Active</v>
      </c>
      <c r="E14" s="50">
        <f>IFERROR(INDEX(Data_CustomerActive!$E$2:$E$100,MATCH(B14,Data_CustomerActive!$B$2:$B$100,0)),0)</f>
        <v>50</v>
      </c>
      <c r="F14" s="50">
        <f ca="1">IFERROR(INDEX(Data_CustomerActive!$F$2:$F$100,MATCH(B14,Data_CustomerActive!$B$2:$B$100,0)),0)</f>
        <v>5</v>
      </c>
      <c r="G14" s="69">
        <f ca="1">IFERROR(F14/E14,0)</f>
        <v>0.1</v>
      </c>
      <c r="H14" s="70">
        <f ca="1">IFERROR(INDEX(Data_CustomerActive!$H$2:$H$100,MATCH(B14,Data_CustomerActive!$B$2:$B$100,0)),0)</f>
        <v>5</v>
      </c>
      <c r="I14" s="50"/>
      <c r="J14" s="50"/>
      <c r="K14" s="50"/>
      <c r="L14" s="50"/>
      <c r="M14" s="50"/>
      <c r="N14" s="50"/>
    </row>
    <row r="15" spans="1:14" ht="13.4" customHeight="1" x14ac:dyDescent="0.35">
      <c r="A15" s="67" t="s">
        <v>26</v>
      </c>
      <c r="B15" s="50" t="s">
        <v>27</v>
      </c>
      <c r="C15" s="68">
        <f>IFERROR(INDEX(Data_CustomerActive!$C$2:$C$100,MATCH(B15,Data_CustomerActive!$B$2:$B$100,0)),"")</f>
        <v>0</v>
      </c>
      <c r="D15" s="50" t="str">
        <f>IFERROR(INDEX(Data_CustomerActive!$D$2:$D$100,MATCH(B15,Data_CustomerActive!$B$2:$B$100,0)),"")</f>
        <v>Active</v>
      </c>
      <c r="E15" s="50">
        <f>IFERROR(INDEX(Data_CustomerActive!$E$2:$E$100,MATCH(B15,Data_CustomerActive!$B$2:$B$100,0)),0)</f>
        <v>0</v>
      </c>
      <c r="F15" s="50">
        <f ca="1">IFERROR(INDEX(Data_CustomerActive!$F$2:$F$100,MATCH(B15,Data_CustomerActive!$B$2:$B$100,0)),0)</f>
        <v>0</v>
      </c>
      <c r="G15" s="69">
        <f ca="1">IFERROR(F15/E15,0)</f>
        <v>0</v>
      </c>
      <c r="H15" s="70">
        <f ca="1">IFERROR(INDEX(Data_CustomerActive!$H$2:$H$100,MATCH(B15,Data_CustomerActive!$B$2:$B$100,0)),0)</f>
        <v>0</v>
      </c>
      <c r="I15" s="50"/>
      <c r="J15" s="50"/>
      <c r="K15" s="50"/>
      <c r="L15" s="50"/>
      <c r="M15" s="50"/>
      <c r="N15" s="50"/>
    </row>
    <row r="16" spans="1:14" ht="13.4" customHeight="1" x14ac:dyDescent="0.35">
      <c r="A16" s="67" t="s">
        <v>28</v>
      </c>
      <c r="B16" s="50" t="s">
        <v>29</v>
      </c>
      <c r="C16" s="68">
        <f>IFERROR(INDEX(Data_CustomerActive!$C$2:$C$100,MATCH(B16,Data_CustomerActive!$B$2:$B$100,0)),"")</f>
        <v>0</v>
      </c>
      <c r="D16" s="50" t="str">
        <f>IFERROR(INDEX(Data_CustomerActive!$D$2:$D$100,MATCH(B16,Data_CustomerActive!$B$2:$B$100,0)),"")</f>
        <v>Active</v>
      </c>
      <c r="E16" s="50">
        <f>IFERROR(INDEX(Data_CustomerActive!$E$2:$E$100,MATCH(B16,Data_CustomerActive!$B$2:$B$100,0)),0)</f>
        <v>0</v>
      </c>
      <c r="F16" s="50">
        <f ca="1">IFERROR(INDEX(Data_CustomerActive!$F$2:$F$100,MATCH(B16,Data_CustomerActive!$B$2:$B$100,0)),0)</f>
        <v>0</v>
      </c>
      <c r="G16" s="69">
        <f ca="1">IFERROR(F16/E16,0)</f>
        <v>0</v>
      </c>
      <c r="H16" s="70">
        <f ca="1">IFERROR(INDEX(Data_CustomerActive!$H$2:$H$100,MATCH(B16,Data_CustomerActive!$B$2:$B$100,0)),0)</f>
        <v>0</v>
      </c>
      <c r="I16" s="50"/>
      <c r="J16" s="50"/>
      <c r="K16" s="50"/>
      <c r="L16" s="50"/>
      <c r="M16" s="50"/>
      <c r="N16" s="50"/>
    </row>
    <row r="17" spans="1:14" ht="13.4" customHeight="1" x14ac:dyDescent="0.35">
      <c r="A17" s="71" t="s">
        <v>30</v>
      </c>
      <c r="B17" s="72" t="s">
        <v>31</v>
      </c>
      <c r="C17" s="73">
        <f>IFERROR(INDEX(Data_CustomerActive!$C$2:$C$100,MATCH(B17,Data_CustomerActive!$B$2:$B$100,0)),"")</f>
        <v>0</v>
      </c>
      <c r="D17" s="72" t="str">
        <f>IFERROR(INDEX(Data_CustomerActive!$D$2:$D$100,MATCH(B17,Data_CustomerActive!$B$2:$B$100,0)),"")</f>
        <v>Active</v>
      </c>
      <c r="E17" s="72">
        <f>IFERROR(INDEX(Data_CustomerActive!$E$2:$E$100,MATCH(B17,Data_CustomerActive!$B$2:$B$100,0)),0)</f>
        <v>0</v>
      </c>
      <c r="F17" s="72">
        <f ca="1">IFERROR(INDEX(Data_CustomerActive!$F$2:$F$100,MATCH(B17,Data_CustomerActive!$B$2:$B$100,0)),0)</f>
        <v>0</v>
      </c>
      <c r="G17" s="74">
        <f ca="1">IFERROR(F17/E17,0)</f>
        <v>0</v>
      </c>
      <c r="H17" s="75">
        <f ca="1">IFERROR(INDEX(Data_CustomerActive!$H$2:$H$100,MATCH(B17,Data_CustomerActive!$B$2:$B$100,0)),0)</f>
        <v>0</v>
      </c>
      <c r="I17" s="50"/>
      <c r="J17" s="50"/>
      <c r="K17" s="50"/>
      <c r="L17" s="50"/>
      <c r="M17" s="50"/>
      <c r="N17" s="50"/>
    </row>
    <row r="18" spans="1:14" ht="13.4" customHeight="1" x14ac:dyDescent="0.3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</row>
    <row r="19" spans="1:14" ht="13.4" customHeight="1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1:14" ht="13.4" customHeight="1" x14ac:dyDescent="0.3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1:14" ht="13.4" customHeight="1" x14ac:dyDescent="0.3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3.4" customHeight="1" x14ac:dyDescent="0.3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ht="13.4" customHeight="1" x14ac:dyDescent="0.3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1:14" ht="13.4" customHeight="1" x14ac:dyDescent="0.3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1:14" ht="13.4" customHeight="1" x14ac:dyDescent="0.3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</row>
    <row r="26" spans="1:14" ht="13.4" customHeight="1" x14ac:dyDescent="0.3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ht="13.4" customHeight="1" x14ac:dyDescent="0.3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14" ht="13.4" customHeight="1" x14ac:dyDescent="0.3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</row>
    <row r="29" spans="1:14" ht="13.4" customHeight="1" x14ac:dyDescent="0.3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0" spans="1:14" ht="13.4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spans="1:14" ht="13.4" customHeight="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</row>
    <row r="32" spans="1:14" ht="13.4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</row>
    <row r="33" spans="1:14" ht="13.4" customHeight="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</row>
    <row r="34" spans="1:14" ht="13.4" customHeight="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spans="1:14" ht="13.4" customHeight="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</row>
    <row r="36" spans="1:14" ht="13.4" customHeight="1" x14ac:dyDescent="0.3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</row>
    <row r="37" spans="1:14" ht="13.4" customHeight="1" x14ac:dyDescent="0.3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</row>
    <row r="38" spans="1:14" ht="13.4" customHeight="1" x14ac:dyDescent="0.3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</row>
    <row r="39" spans="1:14" ht="13.4" customHeight="1" x14ac:dyDescent="0.3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</row>
    <row r="40" spans="1:14" ht="13.4" customHeight="1" x14ac:dyDescent="0.3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1:14" ht="13.4" customHeight="1" x14ac:dyDescent="0.3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1:14" ht="13.4" customHeight="1" x14ac:dyDescent="0.3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1:14" ht="13.4" customHeight="1" x14ac:dyDescent="0.3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1:14" ht="13.4" customHeight="1" x14ac:dyDescent="0.3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1:14" ht="13.4" customHeight="1" x14ac:dyDescent="0.3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1:14" ht="13.4" customHeight="1" x14ac:dyDescent="0.3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1:14" ht="13.4" customHeight="1" x14ac:dyDescent="0.3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1:14" ht="13.4" customHeight="1" x14ac:dyDescent="0.3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1:14" ht="13.4" customHeight="1" x14ac:dyDescent="0.3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1:14" ht="13.4" customHeight="1" x14ac:dyDescent="0.3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1:14" ht="13.4" customHeight="1" x14ac:dyDescent="0.3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2" spans="1:14" ht="13.4" customHeight="1" x14ac:dyDescent="0.3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</row>
    <row r="53" spans="1:14" ht="13.4" customHeight="1" x14ac:dyDescent="0.3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</row>
    <row r="54" spans="1:14" ht="13.4" customHeight="1" x14ac:dyDescent="0.3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</row>
    <row r="55" spans="1:14" ht="13.4" customHeight="1" x14ac:dyDescent="0.3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</row>
    <row r="56" spans="1:14" ht="13.4" customHeight="1" x14ac:dyDescent="0.3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</row>
    <row r="57" spans="1:14" ht="13.4" customHeight="1" x14ac:dyDescent="0.3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</row>
    <row r="58" spans="1:14" ht="13.4" customHeight="1" x14ac:dyDescent="0.3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</row>
    <row r="59" spans="1:14" ht="13.4" customHeight="1" x14ac:dyDescent="0.3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</row>
    <row r="60" spans="1:14" ht="13.4" customHeight="1" x14ac:dyDescent="0.3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</row>
  </sheetData>
  <mergeCells count="11">
    <mergeCell ref="A11:N11"/>
    <mergeCell ref="A1:N2"/>
    <mergeCell ref="A3:N3"/>
    <mergeCell ref="A6:C8"/>
    <mergeCell ref="A5:C5"/>
    <mergeCell ref="E6:G8"/>
    <mergeCell ref="E5:G5"/>
    <mergeCell ref="I6:K8"/>
    <mergeCell ref="I5:K5"/>
    <mergeCell ref="M6:N8"/>
    <mergeCell ref="M5:N5"/>
  </mergeCells>
  <conditionalFormatting sqref="G13:G17">
    <cfRule type="colorScale" priority="1">
      <colorScale>
        <cfvo type="min"/>
        <cfvo type="percentile" val="50"/>
        <cfvo type="max"/>
        <color rgb="FFF4CCCC"/>
        <color rgb="FFFFF2CC"/>
        <color rgb="FFE2F0D9"/>
      </colorScale>
    </cfRule>
  </conditionalFormatting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dimension ref="A1:N60"/>
  <sheetViews>
    <sheetView workbookViewId="0"/>
  </sheetViews>
  <sheetFormatPr defaultRowHeight="14.5" x14ac:dyDescent="0.35"/>
  <cols>
    <col min="1" max="2" width="18" customWidth="1"/>
    <col min="3" max="3" width="12" customWidth="1"/>
    <col min="4" max="4" width="22" customWidth="1"/>
    <col min="5" max="7" width="18" customWidth="1"/>
    <col min="8" max="10" width="12" customWidth="1"/>
    <col min="11" max="11" width="35" customWidth="1"/>
    <col min="12" max="14" width="12" customWidth="1"/>
  </cols>
  <sheetData>
    <row r="1" spans="1:14" ht="13.4" customHeight="1" x14ac:dyDescent="0.35">
      <c r="A1" s="134" t="s">
        <v>112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</row>
    <row r="2" spans="1:14" ht="13.4" customHeight="1" x14ac:dyDescent="0.35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</row>
    <row r="3" spans="1:14" ht="13.4" customHeight="1" x14ac:dyDescent="0.35">
      <c r="A3" s="135" t="s">
        <v>113</v>
      </c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1:14" ht="13.4" customHeight="1" x14ac:dyDescent="0.3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4" ht="13.4" customHeight="1" x14ac:dyDescent="0.35">
      <c r="A5" s="145" t="s">
        <v>114</v>
      </c>
      <c r="B5" s="146"/>
      <c r="C5" s="147"/>
      <c r="D5" s="50"/>
      <c r="E5" s="157" t="s">
        <v>115</v>
      </c>
      <c r="F5" s="158"/>
      <c r="G5" s="159"/>
      <c r="H5" s="50"/>
      <c r="I5" s="169" t="s">
        <v>116</v>
      </c>
      <c r="J5" s="170"/>
      <c r="K5" s="171"/>
      <c r="L5" s="50"/>
      <c r="M5" s="178" t="s">
        <v>117</v>
      </c>
      <c r="N5" s="179"/>
    </row>
    <row r="6" spans="1:14" ht="13.4" customHeight="1" x14ac:dyDescent="0.35">
      <c r="A6" s="136">
        <f>SUM(Data_Booking!$D$2:$D$1000)</f>
        <v>25</v>
      </c>
      <c r="B6" s="137"/>
      <c r="C6" s="138"/>
      <c r="D6" s="50"/>
      <c r="E6" s="181">
        <f>SUMIF(Data_Booking!$C$2:$C$1000,"Sea",Data_Booking!$D$2:$D$1000)</f>
        <v>3</v>
      </c>
      <c r="F6" s="149"/>
      <c r="G6" s="150"/>
      <c r="H6" s="50"/>
      <c r="I6" s="160">
        <f>SUMIF(Data_Booking!$C$2:$C$1000,"Air",Data_Booking!$D$2:$D$1000)</f>
        <v>22</v>
      </c>
      <c r="J6" s="161"/>
      <c r="K6" s="162"/>
      <c r="L6" s="50"/>
      <c r="M6" s="183">
        <f>IFERROR(AVERAGE(Data_Booking!$E$2:$E$1000),0)</f>
        <v>4.6428571428571432</v>
      </c>
      <c r="N6" s="173"/>
    </row>
    <row r="7" spans="1:14" ht="13.4" customHeight="1" x14ac:dyDescent="0.35">
      <c r="A7" s="139"/>
      <c r="B7" s="140"/>
      <c r="C7" s="141"/>
      <c r="D7" s="50"/>
      <c r="E7" s="151"/>
      <c r="F7" s="152"/>
      <c r="G7" s="153"/>
      <c r="H7" s="50"/>
      <c r="I7" s="163"/>
      <c r="J7" s="164"/>
      <c r="K7" s="165"/>
      <c r="L7" s="50"/>
      <c r="M7" s="174"/>
      <c r="N7" s="175"/>
    </row>
    <row r="8" spans="1:14" ht="13.4" customHeight="1" x14ac:dyDescent="0.35">
      <c r="A8" s="142"/>
      <c r="B8" s="143"/>
      <c r="C8" s="144"/>
      <c r="D8" s="50"/>
      <c r="E8" s="154"/>
      <c r="F8" s="155"/>
      <c r="G8" s="156"/>
      <c r="H8" s="50"/>
      <c r="I8" s="166"/>
      <c r="J8" s="167"/>
      <c r="K8" s="168"/>
      <c r="L8" s="50"/>
      <c r="M8" s="176"/>
      <c r="N8" s="177"/>
    </row>
    <row r="9" spans="1:14" ht="13.4" customHeight="1" x14ac:dyDescent="0.3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</row>
    <row r="10" spans="1:14" ht="13.4" customHeight="1" x14ac:dyDescent="0.3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</row>
    <row r="11" spans="1:14" ht="13.4" customHeight="1" x14ac:dyDescent="0.35">
      <c r="A11" s="180" t="s">
        <v>118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</row>
    <row r="12" spans="1:14" ht="13.4" customHeight="1" x14ac:dyDescent="0.35">
      <c r="A12" s="76" t="s">
        <v>0</v>
      </c>
      <c r="B12" s="77" t="s">
        <v>1</v>
      </c>
      <c r="C12" s="77" t="s">
        <v>2</v>
      </c>
      <c r="D12" s="77" t="s">
        <v>3</v>
      </c>
      <c r="E12" s="77" t="s">
        <v>4</v>
      </c>
      <c r="F12" s="77" t="s">
        <v>5</v>
      </c>
      <c r="G12" s="77" t="s">
        <v>6</v>
      </c>
      <c r="H12" s="77" t="s">
        <v>7</v>
      </c>
      <c r="I12" s="77" t="s">
        <v>8</v>
      </c>
      <c r="J12" s="77" t="s">
        <v>9</v>
      </c>
      <c r="K12" s="78" t="s">
        <v>10</v>
      </c>
      <c r="L12" s="50"/>
      <c r="M12" s="50"/>
      <c r="N12" s="50"/>
    </row>
    <row r="13" spans="1:14" ht="13.4" customHeight="1" x14ac:dyDescent="0.35">
      <c r="A13" s="79">
        <v>46225</v>
      </c>
      <c r="B13" s="50" t="s">
        <v>11</v>
      </c>
      <c r="C13" s="50" t="s">
        <v>12</v>
      </c>
      <c r="D13" s="50">
        <v>3</v>
      </c>
      <c r="E13" s="50">
        <v>3</v>
      </c>
      <c r="F13" s="50" t="s">
        <v>13</v>
      </c>
      <c r="G13" s="50" t="s">
        <v>14</v>
      </c>
      <c r="H13" s="50">
        <v>30</v>
      </c>
      <c r="I13" s="50" t="s">
        <v>119</v>
      </c>
      <c r="J13" s="50" t="s">
        <v>15</v>
      </c>
      <c r="K13" s="80"/>
      <c r="L13" s="50"/>
      <c r="M13" s="50"/>
      <c r="N13" s="50"/>
    </row>
    <row r="14" spans="1:14" ht="13.4" customHeight="1" x14ac:dyDescent="0.35">
      <c r="A14" s="79">
        <v>46226</v>
      </c>
      <c r="B14" s="50" t="s">
        <v>11</v>
      </c>
      <c r="C14" s="50" t="s">
        <v>16</v>
      </c>
      <c r="D14" s="50">
        <v>1</v>
      </c>
      <c r="E14" s="50">
        <v>5</v>
      </c>
      <c r="F14" s="50" t="s">
        <v>17</v>
      </c>
      <c r="G14" s="50" t="s">
        <v>18</v>
      </c>
      <c r="H14" s="50">
        <v>30</v>
      </c>
      <c r="I14" s="50" t="s">
        <v>119</v>
      </c>
      <c r="J14" s="50" t="s">
        <v>15</v>
      </c>
      <c r="K14" s="80" t="s">
        <v>19</v>
      </c>
      <c r="L14" s="50"/>
      <c r="M14" s="50"/>
      <c r="N14" s="50"/>
    </row>
    <row r="15" spans="1:14" ht="13.4" customHeight="1" x14ac:dyDescent="0.35">
      <c r="A15" s="79">
        <v>46226</v>
      </c>
      <c r="B15" s="50" t="s">
        <v>20</v>
      </c>
      <c r="C15" s="50" t="s">
        <v>16</v>
      </c>
      <c r="D15" s="50">
        <v>3</v>
      </c>
      <c r="E15" s="50">
        <v>5</v>
      </c>
      <c r="F15" s="50" t="s">
        <v>17</v>
      </c>
      <c r="G15" s="50" t="s">
        <v>18</v>
      </c>
      <c r="H15" s="50">
        <v>30</v>
      </c>
      <c r="I15" s="50" t="s">
        <v>119</v>
      </c>
      <c r="J15" s="50" t="s">
        <v>15</v>
      </c>
      <c r="K15" s="80" t="s">
        <v>19</v>
      </c>
      <c r="L15" s="50"/>
      <c r="M15" s="50"/>
      <c r="N15" s="50"/>
    </row>
    <row r="16" spans="1:14" ht="13.4" customHeight="1" x14ac:dyDescent="0.35">
      <c r="A16" s="79">
        <v>46227</v>
      </c>
      <c r="B16" s="50" t="s">
        <v>11</v>
      </c>
      <c r="C16" s="50" t="s">
        <v>16</v>
      </c>
      <c r="D16" s="50">
        <v>8</v>
      </c>
      <c r="E16" s="50">
        <v>5</v>
      </c>
      <c r="F16" s="50" t="s">
        <v>17</v>
      </c>
      <c r="G16" s="50" t="s">
        <v>18</v>
      </c>
      <c r="H16" s="50">
        <v>30</v>
      </c>
      <c r="I16" s="50" t="s">
        <v>119</v>
      </c>
      <c r="J16" s="50" t="s">
        <v>15</v>
      </c>
      <c r="K16" s="80" t="s">
        <v>19</v>
      </c>
      <c r="L16" s="50"/>
      <c r="M16" s="50"/>
      <c r="N16" s="50"/>
    </row>
    <row r="17" spans="1:14" ht="13.4" customHeight="1" x14ac:dyDescent="0.35">
      <c r="A17" s="79">
        <v>46227</v>
      </c>
      <c r="B17" s="50" t="s">
        <v>20</v>
      </c>
      <c r="C17" s="50" t="s">
        <v>16</v>
      </c>
      <c r="D17" s="50">
        <v>2</v>
      </c>
      <c r="E17" s="50">
        <v>5</v>
      </c>
      <c r="F17" s="50" t="s">
        <v>17</v>
      </c>
      <c r="G17" s="50" t="s">
        <v>18</v>
      </c>
      <c r="H17" s="50">
        <v>30</v>
      </c>
      <c r="I17" s="50" t="s">
        <v>119</v>
      </c>
      <c r="J17" s="50" t="s">
        <v>15</v>
      </c>
      <c r="K17" s="80" t="s">
        <v>19</v>
      </c>
      <c r="L17" s="50"/>
      <c r="M17" s="50"/>
      <c r="N17" s="50"/>
    </row>
    <row r="18" spans="1:14" ht="13.4" customHeight="1" x14ac:dyDescent="0.35">
      <c r="A18" s="81">
        <v>46230</v>
      </c>
      <c r="B18" s="72" t="s">
        <v>11</v>
      </c>
      <c r="C18" s="72" t="s">
        <v>16</v>
      </c>
      <c r="D18" s="72">
        <v>3</v>
      </c>
      <c r="E18" s="72">
        <v>6.5</v>
      </c>
      <c r="F18" s="72" t="s">
        <v>17</v>
      </c>
      <c r="G18" s="72" t="s">
        <v>18</v>
      </c>
      <c r="H18" s="72">
        <v>31</v>
      </c>
      <c r="I18" s="72" t="s">
        <v>119</v>
      </c>
      <c r="J18" s="72" t="s">
        <v>15</v>
      </c>
      <c r="K18" s="82" t="s">
        <v>19</v>
      </c>
      <c r="L18" s="50"/>
      <c r="M18" s="50"/>
      <c r="N18" s="50"/>
    </row>
    <row r="19" spans="1:14" ht="13.4" customHeight="1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1:14" ht="13.4" customHeight="1" x14ac:dyDescent="0.3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1:14" ht="13.4" customHeight="1" x14ac:dyDescent="0.3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3.4" customHeight="1" x14ac:dyDescent="0.3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ht="13.4" customHeight="1" x14ac:dyDescent="0.3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1:14" ht="13.4" customHeight="1" x14ac:dyDescent="0.3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1:14" ht="13.4" customHeight="1" x14ac:dyDescent="0.3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</row>
    <row r="26" spans="1:14" ht="13.4" customHeight="1" x14ac:dyDescent="0.3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ht="13.4" customHeight="1" x14ac:dyDescent="0.3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14" ht="13.4" customHeight="1" x14ac:dyDescent="0.3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</row>
    <row r="29" spans="1:14" ht="13.4" customHeight="1" x14ac:dyDescent="0.3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0" spans="1:14" ht="13.4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spans="1:14" ht="13.4" customHeight="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</row>
    <row r="32" spans="1:14" ht="13.4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</row>
    <row r="33" spans="1:14" ht="13.4" customHeight="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</row>
    <row r="34" spans="1:14" ht="13.4" customHeight="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spans="1:14" ht="13.4" customHeight="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</row>
    <row r="36" spans="1:14" ht="13.4" customHeight="1" x14ac:dyDescent="0.3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</row>
    <row r="37" spans="1:14" ht="13.4" customHeight="1" x14ac:dyDescent="0.3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</row>
    <row r="38" spans="1:14" ht="13.4" customHeight="1" x14ac:dyDescent="0.3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</row>
    <row r="39" spans="1:14" ht="13.4" customHeight="1" x14ac:dyDescent="0.3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</row>
    <row r="40" spans="1:14" ht="13.4" customHeight="1" x14ac:dyDescent="0.3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1:14" ht="13.4" customHeight="1" x14ac:dyDescent="0.3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1:14" ht="13.4" customHeight="1" x14ac:dyDescent="0.3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1:14" ht="13.4" customHeight="1" x14ac:dyDescent="0.3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1:14" ht="13.4" customHeight="1" x14ac:dyDescent="0.3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1:14" ht="13.4" customHeight="1" x14ac:dyDescent="0.3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1:14" ht="13.4" customHeight="1" x14ac:dyDescent="0.3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1:14" ht="13.4" customHeight="1" x14ac:dyDescent="0.3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1:14" ht="13.4" customHeight="1" x14ac:dyDescent="0.3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1:14" ht="13.4" customHeight="1" x14ac:dyDescent="0.3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1:14" ht="13.4" customHeight="1" x14ac:dyDescent="0.3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1:14" ht="13.4" customHeight="1" x14ac:dyDescent="0.3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2" spans="1:14" ht="13.4" customHeight="1" x14ac:dyDescent="0.3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</row>
    <row r="53" spans="1:14" ht="13.4" customHeight="1" x14ac:dyDescent="0.3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</row>
    <row r="54" spans="1:14" ht="13.4" customHeight="1" x14ac:dyDescent="0.3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</row>
    <row r="55" spans="1:14" ht="13.4" customHeight="1" x14ac:dyDescent="0.3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</row>
    <row r="56" spans="1:14" ht="13.4" customHeight="1" x14ac:dyDescent="0.3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</row>
    <row r="57" spans="1:14" ht="13.4" customHeight="1" x14ac:dyDescent="0.3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</row>
    <row r="58" spans="1:14" ht="13.4" customHeight="1" x14ac:dyDescent="0.3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</row>
    <row r="59" spans="1:14" ht="13.4" customHeight="1" x14ac:dyDescent="0.3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</row>
    <row r="60" spans="1:14" ht="13.4" customHeight="1" x14ac:dyDescent="0.3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</row>
  </sheetData>
  <mergeCells count="11">
    <mergeCell ref="A11:N11"/>
    <mergeCell ref="A1:N2"/>
    <mergeCell ref="A3:N3"/>
    <mergeCell ref="A6:C8"/>
    <mergeCell ref="A5:C5"/>
    <mergeCell ref="E6:G8"/>
    <mergeCell ref="E5:G5"/>
    <mergeCell ref="I6:K8"/>
    <mergeCell ref="I5:K5"/>
    <mergeCell ref="M6:N8"/>
    <mergeCell ref="M5:N5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dimension ref="A1:N60"/>
  <sheetViews>
    <sheetView workbookViewId="0"/>
  </sheetViews>
  <sheetFormatPr defaultRowHeight="14.5" x14ac:dyDescent="0.35"/>
  <cols>
    <col min="1" max="2" width="18" customWidth="1"/>
    <col min="3" max="3" width="12" customWidth="1"/>
    <col min="4" max="4" width="22" customWidth="1"/>
    <col min="5" max="5" width="42" customWidth="1"/>
    <col min="6" max="6" width="32" customWidth="1"/>
    <col min="7" max="7" width="18" customWidth="1"/>
    <col min="8" max="10" width="12" customWidth="1"/>
    <col min="11" max="11" width="28" customWidth="1"/>
    <col min="12" max="14" width="12" customWidth="1"/>
  </cols>
  <sheetData>
    <row r="1" spans="1:14" ht="13.4" customHeight="1" x14ac:dyDescent="0.35">
      <c r="A1" s="134" t="s">
        <v>120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</row>
    <row r="2" spans="1:14" ht="13.4" customHeight="1" x14ac:dyDescent="0.35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</row>
    <row r="3" spans="1:14" ht="13.4" customHeight="1" x14ac:dyDescent="0.35">
      <c r="A3" s="135" t="s">
        <v>121</v>
      </c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1:14" ht="13.4" customHeight="1" x14ac:dyDescent="0.3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4" ht="13.4" customHeight="1" x14ac:dyDescent="0.35">
      <c r="A5" s="131" t="s">
        <v>122</v>
      </c>
      <c r="B5" s="132"/>
      <c r="C5" s="133"/>
      <c r="D5" s="50"/>
      <c r="E5" s="169" t="s">
        <v>123</v>
      </c>
      <c r="F5" s="170"/>
      <c r="G5" s="171"/>
      <c r="H5" s="50"/>
      <c r="I5" s="178" t="s">
        <v>124</v>
      </c>
      <c r="J5" s="187"/>
      <c r="K5" s="179"/>
      <c r="L5" s="50"/>
      <c r="M5" s="106" t="s">
        <v>125</v>
      </c>
      <c r="N5" s="107"/>
    </row>
    <row r="6" spans="1:14" ht="13.4" customHeight="1" x14ac:dyDescent="0.35">
      <c r="A6" s="122">
        <f>COUNTIF(Data_Booking!$G$2:$G$1000,"Yes")</f>
        <v>6</v>
      </c>
      <c r="B6" s="123"/>
      <c r="C6" s="124"/>
      <c r="D6" s="50"/>
      <c r="E6" s="160">
        <f ca="1">COUNTIF(Data_CustomerActive!$F$2:$F$100,"&gt;0")</f>
        <v>2</v>
      </c>
      <c r="F6" s="161"/>
      <c r="G6" s="162"/>
      <c r="H6" s="50"/>
      <c r="I6" s="183">
        <f>IFERROR(AVERAGEIF(Data_Booking!$G$2:$G$1000,"Yes",Data_Booking!$E$2:$E$1000),0)</f>
        <v>4.916666666666667</v>
      </c>
      <c r="J6" s="184"/>
      <c r="K6" s="173"/>
      <c r="L6" s="50"/>
      <c r="M6" s="100">
        <f>COUNTIF(Customer_Feedback!$D$2:$D$100,"Negative")</f>
        <v>1</v>
      </c>
      <c r="N6" s="101"/>
    </row>
    <row r="7" spans="1:14" ht="13.4" customHeight="1" x14ac:dyDescent="0.35">
      <c r="A7" s="125"/>
      <c r="B7" s="126"/>
      <c r="C7" s="127"/>
      <c r="D7" s="50"/>
      <c r="E7" s="163"/>
      <c r="F7" s="164"/>
      <c r="G7" s="165"/>
      <c r="H7" s="50"/>
      <c r="I7" s="174"/>
      <c r="J7" s="185"/>
      <c r="K7" s="175"/>
      <c r="L7" s="50"/>
      <c r="M7" s="102"/>
      <c r="N7" s="103"/>
    </row>
    <row r="8" spans="1:14" ht="13.4" customHeight="1" x14ac:dyDescent="0.35">
      <c r="A8" s="128"/>
      <c r="B8" s="129"/>
      <c r="C8" s="130"/>
      <c r="D8" s="50"/>
      <c r="E8" s="166"/>
      <c r="F8" s="167"/>
      <c r="G8" s="168"/>
      <c r="H8" s="50"/>
      <c r="I8" s="176"/>
      <c r="J8" s="186"/>
      <c r="K8" s="177"/>
      <c r="L8" s="50"/>
      <c r="M8" s="104"/>
      <c r="N8" s="105"/>
    </row>
    <row r="9" spans="1:14" ht="13.4" customHeight="1" x14ac:dyDescent="0.3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</row>
    <row r="10" spans="1:14" ht="13.4" customHeight="1" x14ac:dyDescent="0.3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</row>
    <row r="11" spans="1:14" ht="13.4" customHeight="1" x14ac:dyDescent="0.35">
      <c r="A11" s="180" t="s">
        <v>126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</row>
    <row r="12" spans="1:14" ht="13.4" customHeight="1" x14ac:dyDescent="0.35">
      <c r="A12" s="83" t="s">
        <v>127</v>
      </c>
      <c r="B12" s="84" t="s">
        <v>1</v>
      </c>
      <c r="C12" s="84" t="s">
        <v>128</v>
      </c>
      <c r="D12" s="84" t="s">
        <v>129</v>
      </c>
      <c r="E12" s="84" t="s">
        <v>130</v>
      </c>
      <c r="F12" s="84" t="s">
        <v>35</v>
      </c>
      <c r="G12" s="85" t="s">
        <v>5</v>
      </c>
      <c r="H12" s="50"/>
      <c r="I12" s="50"/>
      <c r="J12" s="50"/>
      <c r="K12" s="50"/>
      <c r="L12" s="50"/>
      <c r="M12" s="50"/>
      <c r="N12" s="50"/>
    </row>
    <row r="13" spans="1:14" ht="13.4" customHeight="1" x14ac:dyDescent="0.35">
      <c r="A13" s="86">
        <v>46226</v>
      </c>
      <c r="B13" s="87" t="s">
        <v>11</v>
      </c>
      <c r="C13" s="87" t="s">
        <v>131</v>
      </c>
      <c r="D13" s="87" t="s">
        <v>132</v>
      </c>
      <c r="E13" s="87" t="s">
        <v>19</v>
      </c>
      <c r="F13" s="87" t="s">
        <v>133</v>
      </c>
      <c r="G13" s="80" t="s">
        <v>134</v>
      </c>
      <c r="H13" s="50"/>
      <c r="I13" s="50"/>
      <c r="J13" s="50"/>
      <c r="K13" s="50"/>
      <c r="L13" s="50"/>
      <c r="M13" s="50"/>
      <c r="N13" s="50"/>
    </row>
    <row r="14" spans="1:14" ht="13.4" customHeight="1" x14ac:dyDescent="0.35">
      <c r="A14" s="86">
        <v>46226</v>
      </c>
      <c r="B14" s="87" t="s">
        <v>20</v>
      </c>
      <c r="C14" s="87" t="s">
        <v>131</v>
      </c>
      <c r="D14" s="87" t="s">
        <v>132</v>
      </c>
      <c r="E14" s="87" t="s">
        <v>19</v>
      </c>
      <c r="F14" s="87" t="s">
        <v>133</v>
      </c>
      <c r="G14" s="80" t="s">
        <v>134</v>
      </c>
      <c r="H14" s="50"/>
      <c r="I14" s="50"/>
      <c r="J14" s="50"/>
      <c r="K14" s="50"/>
      <c r="L14" s="50"/>
      <c r="M14" s="50"/>
      <c r="N14" s="50"/>
    </row>
    <row r="15" spans="1:14" ht="13.4" customHeight="1" x14ac:dyDescent="0.35">
      <c r="A15" s="86">
        <v>46227</v>
      </c>
      <c r="B15" s="87" t="s">
        <v>11</v>
      </c>
      <c r="C15" s="87" t="s">
        <v>131</v>
      </c>
      <c r="D15" s="87" t="s">
        <v>132</v>
      </c>
      <c r="E15" s="87" t="s">
        <v>19</v>
      </c>
      <c r="F15" s="87" t="s">
        <v>133</v>
      </c>
      <c r="G15" s="80" t="s">
        <v>134</v>
      </c>
      <c r="H15" s="50"/>
      <c r="I15" s="50"/>
      <c r="J15" s="50"/>
      <c r="K15" s="50"/>
      <c r="L15" s="50"/>
      <c r="M15" s="50"/>
      <c r="N15" s="50"/>
    </row>
    <row r="16" spans="1:14" ht="13.4" customHeight="1" x14ac:dyDescent="0.35">
      <c r="A16" s="86">
        <v>46227</v>
      </c>
      <c r="B16" s="87" t="s">
        <v>20</v>
      </c>
      <c r="C16" s="87" t="s">
        <v>131</v>
      </c>
      <c r="D16" s="87" t="s">
        <v>132</v>
      </c>
      <c r="E16" s="87" t="s">
        <v>19</v>
      </c>
      <c r="F16" s="87" t="s">
        <v>133</v>
      </c>
      <c r="G16" s="80" t="s">
        <v>134</v>
      </c>
      <c r="H16" s="50"/>
      <c r="I16" s="50"/>
      <c r="J16" s="50"/>
      <c r="K16" s="50"/>
      <c r="L16" s="50"/>
      <c r="M16" s="50"/>
      <c r="N16" s="50"/>
    </row>
    <row r="17" spans="1:14" ht="13.4" customHeight="1" x14ac:dyDescent="0.35">
      <c r="A17" s="86">
        <v>46230</v>
      </c>
      <c r="B17" s="87" t="s">
        <v>11</v>
      </c>
      <c r="C17" s="87" t="s">
        <v>131</v>
      </c>
      <c r="D17" s="87" t="s">
        <v>132</v>
      </c>
      <c r="E17" s="87" t="s">
        <v>19</v>
      </c>
      <c r="F17" s="87" t="s">
        <v>133</v>
      </c>
      <c r="G17" s="80" t="s">
        <v>134</v>
      </c>
      <c r="H17" s="50"/>
      <c r="I17" s="50"/>
      <c r="J17" s="50"/>
      <c r="K17" s="50"/>
      <c r="L17" s="50"/>
      <c r="M17" s="50"/>
      <c r="N17" s="50"/>
    </row>
    <row r="18" spans="1:14" ht="13.4" customHeight="1" x14ac:dyDescent="0.35">
      <c r="A18" s="88"/>
      <c r="B18" s="89" t="s">
        <v>11</v>
      </c>
      <c r="C18" s="89" t="s">
        <v>1</v>
      </c>
      <c r="D18" s="89" t="s">
        <v>65</v>
      </c>
      <c r="E18" s="89" t="s">
        <v>135</v>
      </c>
      <c r="F18" s="89" t="s">
        <v>136</v>
      </c>
      <c r="G18" s="82" t="s">
        <v>134</v>
      </c>
      <c r="H18" s="50"/>
      <c r="I18" s="50"/>
      <c r="J18" s="50"/>
      <c r="K18" s="50"/>
      <c r="L18" s="50"/>
      <c r="M18" s="50"/>
      <c r="N18" s="50"/>
    </row>
    <row r="19" spans="1:14" ht="13.4" customHeight="1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1:14" ht="13.4" customHeight="1" x14ac:dyDescent="0.3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1:14" ht="13.4" customHeight="1" x14ac:dyDescent="0.3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3.4" customHeight="1" x14ac:dyDescent="0.3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ht="13.4" customHeight="1" x14ac:dyDescent="0.3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1:14" ht="13.4" customHeight="1" x14ac:dyDescent="0.3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1:14" ht="13.4" customHeight="1" x14ac:dyDescent="0.3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</row>
    <row r="26" spans="1:14" ht="13.4" customHeight="1" x14ac:dyDescent="0.3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ht="13.4" customHeight="1" x14ac:dyDescent="0.3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14" ht="13.4" customHeight="1" x14ac:dyDescent="0.3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</row>
    <row r="29" spans="1:14" ht="13.4" customHeight="1" x14ac:dyDescent="0.3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0" spans="1:14" ht="13.4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spans="1:14" ht="13.4" customHeight="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</row>
    <row r="32" spans="1:14" ht="13.4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</row>
    <row r="33" spans="1:14" ht="13.4" customHeight="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</row>
    <row r="34" spans="1:14" ht="13.4" customHeight="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spans="1:14" ht="13.4" customHeight="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</row>
    <row r="36" spans="1:14" ht="13.4" customHeight="1" x14ac:dyDescent="0.3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</row>
    <row r="37" spans="1:14" ht="13.4" customHeight="1" x14ac:dyDescent="0.3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</row>
    <row r="38" spans="1:14" ht="13.4" customHeight="1" x14ac:dyDescent="0.3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</row>
    <row r="39" spans="1:14" ht="13.4" customHeight="1" x14ac:dyDescent="0.3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</row>
    <row r="40" spans="1:14" ht="13.4" customHeight="1" x14ac:dyDescent="0.3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1:14" ht="13.4" customHeight="1" x14ac:dyDescent="0.3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1:14" ht="13.4" customHeight="1" x14ac:dyDescent="0.3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1:14" ht="13.4" customHeight="1" x14ac:dyDescent="0.3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1:14" ht="13.4" customHeight="1" x14ac:dyDescent="0.3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1:14" ht="13.4" customHeight="1" x14ac:dyDescent="0.3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1:14" ht="13.4" customHeight="1" x14ac:dyDescent="0.3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1:14" ht="13.4" customHeight="1" x14ac:dyDescent="0.3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1:14" ht="13.4" customHeight="1" x14ac:dyDescent="0.3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1:14" ht="13.4" customHeight="1" x14ac:dyDescent="0.3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1:14" ht="13.4" customHeight="1" x14ac:dyDescent="0.3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1:14" ht="13.4" customHeight="1" x14ac:dyDescent="0.3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2" spans="1:14" ht="13.4" customHeight="1" x14ac:dyDescent="0.3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</row>
    <row r="53" spans="1:14" ht="13.4" customHeight="1" x14ac:dyDescent="0.3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</row>
    <row r="54" spans="1:14" ht="13.4" customHeight="1" x14ac:dyDescent="0.3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</row>
    <row r="55" spans="1:14" ht="13.4" customHeight="1" x14ac:dyDescent="0.3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</row>
    <row r="56" spans="1:14" ht="13.4" customHeight="1" x14ac:dyDescent="0.3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</row>
    <row r="57" spans="1:14" ht="13.4" customHeight="1" x14ac:dyDescent="0.3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</row>
    <row r="58" spans="1:14" ht="13.4" customHeight="1" x14ac:dyDescent="0.3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</row>
    <row r="59" spans="1:14" ht="13.4" customHeight="1" x14ac:dyDescent="0.3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</row>
    <row r="60" spans="1:14" ht="13.4" customHeight="1" x14ac:dyDescent="0.3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</row>
  </sheetData>
  <mergeCells count="11">
    <mergeCell ref="A11:N11"/>
    <mergeCell ref="A1:N2"/>
    <mergeCell ref="A3:N3"/>
    <mergeCell ref="A6:C8"/>
    <mergeCell ref="A5:C5"/>
    <mergeCell ref="E6:G8"/>
    <mergeCell ref="E5:G5"/>
    <mergeCell ref="I6:K8"/>
    <mergeCell ref="I5:K5"/>
    <mergeCell ref="M6:N8"/>
    <mergeCell ref="M5:N5"/>
  </mergeCell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dimension ref="A1:N60"/>
  <sheetViews>
    <sheetView workbookViewId="0"/>
  </sheetViews>
  <sheetFormatPr defaultRowHeight="14.5" x14ac:dyDescent="0.35"/>
  <cols>
    <col min="1" max="2" width="18" customWidth="1"/>
    <col min="3" max="3" width="42" customWidth="1"/>
    <col min="4" max="4" width="32" customWidth="1"/>
    <col min="5" max="5" width="48" customWidth="1"/>
    <col min="6" max="7" width="18" customWidth="1"/>
    <col min="8" max="10" width="12" customWidth="1"/>
    <col min="11" max="11" width="28" customWidth="1"/>
    <col min="12" max="14" width="12" customWidth="1"/>
  </cols>
  <sheetData>
    <row r="1" spans="1:14" ht="13.4" customHeight="1" x14ac:dyDescent="0.35">
      <c r="A1" s="134" t="s">
        <v>137</v>
      </c>
      <c r="B1" s="134"/>
      <c r="C1" s="134"/>
      <c r="D1" s="134"/>
      <c r="E1" s="134"/>
      <c r="F1" s="134"/>
      <c r="G1" s="134"/>
      <c r="H1" s="134"/>
      <c r="I1" s="134"/>
      <c r="J1" s="134"/>
      <c r="K1" s="134"/>
      <c r="L1" s="134"/>
      <c r="M1" s="134"/>
      <c r="N1" s="134"/>
    </row>
    <row r="2" spans="1:14" ht="13.4" customHeight="1" x14ac:dyDescent="0.35">
      <c r="A2" s="134"/>
      <c r="B2" s="134"/>
      <c r="C2" s="134"/>
      <c r="D2" s="134"/>
      <c r="E2" s="134"/>
      <c r="F2" s="134"/>
      <c r="G2" s="134"/>
      <c r="H2" s="134"/>
      <c r="I2" s="134"/>
      <c r="J2" s="134"/>
      <c r="K2" s="134"/>
      <c r="L2" s="134"/>
      <c r="M2" s="134"/>
      <c r="N2" s="134"/>
    </row>
    <row r="3" spans="1:14" ht="13.4" customHeight="1" x14ac:dyDescent="0.35">
      <c r="A3" s="135" t="s">
        <v>138</v>
      </c>
      <c r="B3" s="135"/>
      <c r="C3" s="135"/>
      <c r="D3" s="135"/>
      <c r="E3" s="135"/>
      <c r="F3" s="135"/>
      <c r="G3" s="135"/>
      <c r="H3" s="135"/>
      <c r="I3" s="135"/>
      <c r="J3" s="135"/>
      <c r="K3" s="135"/>
      <c r="L3" s="135"/>
      <c r="M3" s="135"/>
      <c r="N3" s="135"/>
    </row>
    <row r="4" spans="1:14" ht="13.4" customHeight="1" x14ac:dyDescent="0.35">
      <c r="A4" s="50"/>
      <c r="B4" s="50"/>
      <c r="C4" s="50"/>
      <c r="D4" s="50"/>
      <c r="E4" s="50"/>
      <c r="F4" s="50"/>
      <c r="G4" s="50"/>
      <c r="H4" s="50"/>
      <c r="I4" s="50"/>
      <c r="J4" s="50"/>
      <c r="K4" s="50"/>
      <c r="L4" s="50"/>
      <c r="M4" s="50"/>
      <c r="N4" s="50"/>
    </row>
    <row r="5" spans="1:14" ht="13.4" customHeight="1" x14ac:dyDescent="0.35">
      <c r="A5" s="106" t="s">
        <v>139</v>
      </c>
      <c r="B5" s="191"/>
      <c r="C5" s="107"/>
      <c r="D5" s="50"/>
      <c r="E5" s="145" t="s">
        <v>140</v>
      </c>
      <c r="F5" s="146"/>
      <c r="G5" s="147"/>
      <c r="H5" s="50"/>
      <c r="I5" s="157" t="s">
        <v>141</v>
      </c>
      <c r="J5" s="158"/>
      <c r="K5" s="159"/>
      <c r="L5" s="50"/>
      <c r="M5" s="169" t="s">
        <v>142</v>
      </c>
      <c r="N5" s="171"/>
    </row>
    <row r="6" spans="1:14" ht="13.4" customHeight="1" x14ac:dyDescent="0.35">
      <c r="A6" s="100">
        <f>COUNTA(Data_Issue!$A$2:$A$100)</f>
        <v>3</v>
      </c>
      <c r="B6" s="188"/>
      <c r="C6" s="101"/>
      <c r="D6" s="50"/>
      <c r="E6" s="136">
        <f>COUNTIF(Data_Issue!$B$2:$B$100,"*Booking*")</f>
        <v>1</v>
      </c>
      <c r="F6" s="137"/>
      <c r="G6" s="138"/>
      <c r="H6" s="50"/>
      <c r="I6" s="181">
        <f>COUNTIF(Data_Issue!$B$2:$B$100,"*SI*")</f>
        <v>1</v>
      </c>
      <c r="J6" s="149"/>
      <c r="K6" s="150"/>
      <c r="L6" s="50"/>
      <c r="M6" s="160">
        <f>COUNTIF(Data_Issue!$B$2:$B$100,"*VGM*")</f>
        <v>1</v>
      </c>
      <c r="N6" s="162"/>
    </row>
    <row r="7" spans="1:14" ht="13.4" customHeight="1" x14ac:dyDescent="0.35">
      <c r="A7" s="102"/>
      <c r="B7" s="189"/>
      <c r="C7" s="103"/>
      <c r="D7" s="50"/>
      <c r="E7" s="139"/>
      <c r="F7" s="140"/>
      <c r="G7" s="141"/>
      <c r="H7" s="50"/>
      <c r="I7" s="151"/>
      <c r="J7" s="152"/>
      <c r="K7" s="153"/>
      <c r="L7" s="50"/>
      <c r="M7" s="163"/>
      <c r="N7" s="165"/>
    </row>
    <row r="8" spans="1:14" ht="13.4" customHeight="1" x14ac:dyDescent="0.35">
      <c r="A8" s="104"/>
      <c r="B8" s="190"/>
      <c r="C8" s="105"/>
      <c r="D8" s="50"/>
      <c r="E8" s="142"/>
      <c r="F8" s="143"/>
      <c r="G8" s="144"/>
      <c r="H8" s="50"/>
      <c r="I8" s="154"/>
      <c r="J8" s="155"/>
      <c r="K8" s="156"/>
      <c r="L8" s="50"/>
      <c r="M8" s="166"/>
      <c r="N8" s="168"/>
    </row>
    <row r="9" spans="1:14" ht="13.4" customHeight="1" x14ac:dyDescent="0.35">
      <c r="A9" s="50"/>
      <c r="B9" s="50"/>
      <c r="C9" s="50"/>
      <c r="D9" s="50"/>
      <c r="E9" s="50"/>
      <c r="F9" s="50"/>
      <c r="G9" s="50"/>
      <c r="H9" s="50"/>
      <c r="I9" s="50"/>
      <c r="J9" s="50"/>
      <c r="K9" s="50"/>
      <c r="L9" s="50"/>
      <c r="M9" s="50"/>
      <c r="N9" s="50"/>
    </row>
    <row r="10" spans="1:14" ht="13.4" customHeight="1" x14ac:dyDescent="0.35">
      <c r="A10" s="50"/>
      <c r="B10" s="50"/>
      <c r="C10" s="50"/>
      <c r="D10" s="50"/>
      <c r="E10" s="50"/>
      <c r="F10" s="50"/>
      <c r="G10" s="50"/>
      <c r="H10" s="50"/>
      <c r="I10" s="50"/>
      <c r="J10" s="50"/>
      <c r="K10" s="50"/>
      <c r="L10" s="50"/>
      <c r="M10" s="50"/>
      <c r="N10" s="50"/>
    </row>
    <row r="11" spans="1:14" ht="13.4" customHeight="1" x14ac:dyDescent="0.35">
      <c r="A11" s="180" t="s">
        <v>143</v>
      </c>
      <c r="B11" s="180"/>
      <c r="C11" s="180"/>
      <c r="D11" s="180"/>
      <c r="E11" s="180"/>
      <c r="F11" s="180"/>
      <c r="G11" s="180"/>
      <c r="H11" s="180"/>
      <c r="I11" s="180"/>
      <c r="J11" s="180"/>
      <c r="K11" s="180"/>
      <c r="L11" s="180"/>
      <c r="M11" s="180"/>
      <c r="N11" s="180"/>
    </row>
    <row r="12" spans="1:14" ht="13.4" customHeight="1" x14ac:dyDescent="0.35">
      <c r="A12" s="83" t="s">
        <v>144</v>
      </c>
      <c r="B12" s="84" t="s">
        <v>33</v>
      </c>
      <c r="C12" s="84" t="s">
        <v>145</v>
      </c>
      <c r="D12" s="84" t="s">
        <v>146</v>
      </c>
      <c r="E12" s="84" t="s">
        <v>147</v>
      </c>
      <c r="F12" s="84" t="s">
        <v>56</v>
      </c>
      <c r="G12" s="85" t="s">
        <v>5</v>
      </c>
      <c r="H12" s="50"/>
      <c r="I12" s="50"/>
      <c r="J12" s="50"/>
      <c r="K12" s="50"/>
      <c r="L12" s="50"/>
      <c r="M12" s="50"/>
      <c r="N12" s="50"/>
    </row>
    <row r="13" spans="1:14" ht="13.4" customHeight="1" x14ac:dyDescent="0.35">
      <c r="A13" s="90" t="s">
        <v>37</v>
      </c>
      <c r="B13" s="87" t="s">
        <v>38</v>
      </c>
      <c r="C13" s="87" t="s">
        <v>39</v>
      </c>
      <c r="D13" s="87" t="s">
        <v>40</v>
      </c>
      <c r="E13" s="87" t="s">
        <v>41</v>
      </c>
      <c r="F13" s="87" t="s">
        <v>131</v>
      </c>
      <c r="G13" s="80" t="s">
        <v>134</v>
      </c>
      <c r="H13" s="50"/>
      <c r="I13" s="50"/>
      <c r="J13" s="50"/>
      <c r="K13" s="50"/>
      <c r="L13" s="50"/>
      <c r="M13" s="50"/>
      <c r="N13" s="50"/>
    </row>
    <row r="14" spans="1:14" ht="13.4" customHeight="1" x14ac:dyDescent="0.35">
      <c r="A14" s="90" t="s">
        <v>42</v>
      </c>
      <c r="B14" s="87" t="s">
        <v>43</v>
      </c>
      <c r="C14" s="87" t="s">
        <v>148</v>
      </c>
      <c r="D14" s="87" t="s">
        <v>45</v>
      </c>
      <c r="E14" s="87" t="s">
        <v>46</v>
      </c>
      <c r="F14" s="87" t="s">
        <v>131</v>
      </c>
      <c r="G14" s="80" t="s">
        <v>134</v>
      </c>
      <c r="H14" s="50"/>
      <c r="I14" s="50"/>
      <c r="J14" s="50"/>
      <c r="K14" s="50"/>
      <c r="L14" s="50"/>
      <c r="M14" s="50"/>
      <c r="N14" s="50"/>
    </row>
    <row r="15" spans="1:14" ht="13.4" customHeight="1" x14ac:dyDescent="0.35">
      <c r="A15" s="91" t="s">
        <v>47</v>
      </c>
      <c r="B15" s="89" t="s">
        <v>48</v>
      </c>
      <c r="C15" s="89" t="s">
        <v>49</v>
      </c>
      <c r="D15" s="89" t="s">
        <v>50</v>
      </c>
      <c r="E15" s="89" t="s">
        <v>51</v>
      </c>
      <c r="F15" s="89" t="s">
        <v>131</v>
      </c>
      <c r="G15" s="82" t="s">
        <v>134</v>
      </c>
      <c r="H15" s="50"/>
      <c r="I15" s="50"/>
      <c r="J15" s="50"/>
      <c r="K15" s="50"/>
      <c r="L15" s="50"/>
      <c r="M15" s="50"/>
      <c r="N15" s="50"/>
    </row>
    <row r="16" spans="1:14" ht="13.4" customHeight="1" x14ac:dyDescent="0.35">
      <c r="A16" s="50"/>
      <c r="B16" s="50"/>
      <c r="C16" s="50"/>
      <c r="D16" s="50"/>
      <c r="E16" s="50"/>
      <c r="F16" s="50"/>
      <c r="G16" s="50"/>
      <c r="H16" s="50"/>
      <c r="I16" s="50"/>
      <c r="J16" s="50"/>
      <c r="K16" s="50"/>
      <c r="L16" s="50"/>
      <c r="M16" s="50"/>
      <c r="N16" s="50"/>
    </row>
    <row r="17" spans="1:14" ht="13.4" customHeight="1" x14ac:dyDescent="0.35">
      <c r="A17" s="50"/>
      <c r="B17" s="50"/>
      <c r="C17" s="50"/>
      <c r="D17" s="50"/>
      <c r="E17" s="50"/>
      <c r="F17" s="50"/>
      <c r="G17" s="50"/>
      <c r="H17" s="50"/>
      <c r="I17" s="50"/>
      <c r="J17" s="50"/>
      <c r="K17" s="50"/>
      <c r="L17" s="50"/>
      <c r="M17" s="50"/>
      <c r="N17" s="50"/>
    </row>
    <row r="18" spans="1:14" ht="13.4" customHeight="1" x14ac:dyDescent="0.35">
      <c r="A18" s="50"/>
      <c r="B18" s="50"/>
      <c r="C18" s="50"/>
      <c r="D18" s="50"/>
      <c r="E18" s="50"/>
      <c r="F18" s="50"/>
      <c r="G18" s="50"/>
      <c r="H18" s="50"/>
      <c r="I18" s="50"/>
      <c r="J18" s="50"/>
      <c r="K18" s="50"/>
      <c r="L18" s="50"/>
      <c r="M18" s="50"/>
      <c r="N18" s="50"/>
    </row>
    <row r="19" spans="1:14" ht="13.4" customHeight="1" x14ac:dyDescent="0.35">
      <c r="A19" s="50"/>
      <c r="B19" s="50"/>
      <c r="C19" s="50"/>
      <c r="D19" s="50"/>
      <c r="E19" s="50"/>
      <c r="F19" s="50"/>
      <c r="G19" s="50"/>
      <c r="H19" s="50"/>
      <c r="I19" s="50"/>
      <c r="J19" s="50"/>
      <c r="K19" s="50"/>
      <c r="L19" s="50"/>
      <c r="M19" s="50"/>
      <c r="N19" s="50"/>
    </row>
    <row r="20" spans="1:14" ht="13.4" customHeight="1" x14ac:dyDescent="0.35">
      <c r="A20" s="50"/>
      <c r="B20" s="50"/>
      <c r="C20" s="50"/>
      <c r="D20" s="50"/>
      <c r="E20" s="50"/>
      <c r="F20" s="50"/>
      <c r="G20" s="50"/>
      <c r="H20" s="50"/>
      <c r="I20" s="50"/>
      <c r="J20" s="50"/>
      <c r="K20" s="50"/>
      <c r="L20" s="50"/>
      <c r="M20" s="50"/>
      <c r="N20" s="50"/>
    </row>
    <row r="21" spans="1:14" ht="13.4" customHeight="1" x14ac:dyDescent="0.35">
      <c r="A21" s="50"/>
      <c r="B21" s="50"/>
      <c r="C21" s="50"/>
      <c r="D21" s="50"/>
      <c r="E21" s="50"/>
      <c r="F21" s="50"/>
      <c r="G21" s="50"/>
      <c r="H21" s="50"/>
      <c r="I21" s="50"/>
      <c r="J21" s="50"/>
      <c r="K21" s="50"/>
      <c r="L21" s="50"/>
      <c r="M21" s="50"/>
      <c r="N21" s="50"/>
    </row>
    <row r="22" spans="1:14" ht="13.4" customHeight="1" x14ac:dyDescent="0.35">
      <c r="A22" s="50"/>
      <c r="B22" s="50"/>
      <c r="C22" s="50"/>
      <c r="D22" s="50"/>
      <c r="E22" s="50"/>
      <c r="F22" s="50"/>
      <c r="G22" s="50"/>
      <c r="H22" s="50"/>
      <c r="I22" s="50"/>
      <c r="J22" s="50"/>
      <c r="K22" s="50"/>
      <c r="L22" s="50"/>
      <c r="M22" s="50"/>
      <c r="N22" s="50"/>
    </row>
    <row r="23" spans="1:14" ht="13.4" customHeight="1" x14ac:dyDescent="0.35">
      <c r="A23" s="50"/>
      <c r="B23" s="50"/>
      <c r="C23" s="50"/>
      <c r="D23" s="50"/>
      <c r="E23" s="50"/>
      <c r="F23" s="50"/>
      <c r="G23" s="50"/>
      <c r="H23" s="50"/>
      <c r="I23" s="50"/>
      <c r="J23" s="50"/>
      <c r="K23" s="50"/>
      <c r="L23" s="50"/>
      <c r="M23" s="50"/>
      <c r="N23" s="50"/>
    </row>
    <row r="24" spans="1:14" ht="13.4" customHeight="1" x14ac:dyDescent="0.35">
      <c r="A24" s="50"/>
      <c r="B24" s="50"/>
      <c r="C24" s="50"/>
      <c r="D24" s="50"/>
      <c r="E24" s="50"/>
      <c r="F24" s="50"/>
      <c r="G24" s="50"/>
      <c r="H24" s="50"/>
      <c r="I24" s="50"/>
      <c r="J24" s="50"/>
      <c r="K24" s="50"/>
      <c r="L24" s="50"/>
      <c r="M24" s="50"/>
      <c r="N24" s="50"/>
    </row>
    <row r="25" spans="1:14" ht="13.4" customHeight="1" x14ac:dyDescent="0.35">
      <c r="A25" s="50"/>
      <c r="B25" s="50"/>
      <c r="C25" s="50"/>
      <c r="D25" s="50"/>
      <c r="E25" s="50"/>
      <c r="F25" s="50"/>
      <c r="G25" s="50"/>
      <c r="H25" s="50"/>
      <c r="I25" s="50"/>
      <c r="J25" s="50"/>
      <c r="K25" s="50"/>
      <c r="L25" s="50"/>
      <c r="M25" s="50"/>
      <c r="N25" s="50"/>
    </row>
    <row r="26" spans="1:14" ht="13.4" customHeight="1" x14ac:dyDescent="0.35">
      <c r="A26" s="50"/>
      <c r="B26" s="50"/>
      <c r="C26" s="50"/>
      <c r="D26" s="50"/>
      <c r="E26" s="50"/>
      <c r="F26" s="50"/>
      <c r="G26" s="50"/>
      <c r="H26" s="50"/>
      <c r="I26" s="50"/>
      <c r="J26" s="50"/>
      <c r="K26" s="50"/>
      <c r="L26" s="50"/>
      <c r="M26" s="50"/>
      <c r="N26" s="50"/>
    </row>
    <row r="27" spans="1:14" ht="13.4" customHeight="1" x14ac:dyDescent="0.35">
      <c r="A27" s="50"/>
      <c r="B27" s="50"/>
      <c r="C27" s="50"/>
      <c r="D27" s="50"/>
      <c r="E27" s="50"/>
      <c r="F27" s="50"/>
      <c r="G27" s="50"/>
      <c r="H27" s="50"/>
      <c r="I27" s="50"/>
      <c r="J27" s="50"/>
      <c r="K27" s="50"/>
      <c r="L27" s="50"/>
      <c r="M27" s="50"/>
      <c r="N27" s="50"/>
    </row>
    <row r="28" spans="1:14" ht="13.4" customHeight="1" x14ac:dyDescent="0.35">
      <c r="A28" s="50"/>
      <c r="B28" s="50"/>
      <c r="C28" s="50"/>
      <c r="D28" s="50"/>
      <c r="E28" s="50"/>
      <c r="F28" s="50"/>
      <c r="G28" s="50"/>
      <c r="H28" s="50"/>
      <c r="I28" s="50"/>
      <c r="J28" s="50"/>
      <c r="K28" s="50"/>
      <c r="L28" s="50"/>
      <c r="M28" s="50"/>
      <c r="N28" s="50"/>
    </row>
    <row r="29" spans="1:14" ht="13.4" customHeight="1" x14ac:dyDescent="0.35">
      <c r="A29" s="50"/>
      <c r="B29" s="50"/>
      <c r="C29" s="50"/>
      <c r="D29" s="50"/>
      <c r="E29" s="50"/>
      <c r="F29" s="50"/>
      <c r="G29" s="50"/>
      <c r="H29" s="50"/>
      <c r="I29" s="50"/>
      <c r="J29" s="50"/>
      <c r="K29" s="50"/>
      <c r="L29" s="50"/>
      <c r="M29" s="50"/>
      <c r="N29" s="50"/>
    </row>
    <row r="30" spans="1:14" ht="13.4" customHeight="1" x14ac:dyDescent="0.35">
      <c r="A30" s="50"/>
      <c r="B30" s="50"/>
      <c r="C30" s="50"/>
      <c r="D30" s="50"/>
      <c r="E30" s="50"/>
      <c r="F30" s="50"/>
      <c r="G30" s="50"/>
      <c r="H30" s="50"/>
      <c r="I30" s="50"/>
      <c r="J30" s="50"/>
      <c r="K30" s="50"/>
      <c r="L30" s="50"/>
      <c r="M30" s="50"/>
      <c r="N30" s="50"/>
    </row>
    <row r="31" spans="1:14" ht="13.4" customHeight="1" x14ac:dyDescent="0.35">
      <c r="A31" s="50"/>
      <c r="B31" s="50"/>
      <c r="C31" s="50"/>
      <c r="D31" s="50"/>
      <c r="E31" s="50"/>
      <c r="F31" s="50"/>
      <c r="G31" s="50"/>
      <c r="H31" s="50"/>
      <c r="I31" s="50"/>
      <c r="J31" s="50"/>
      <c r="K31" s="50"/>
      <c r="L31" s="50"/>
      <c r="M31" s="50"/>
      <c r="N31" s="50"/>
    </row>
    <row r="32" spans="1:14" ht="13.4" customHeight="1" x14ac:dyDescent="0.35">
      <c r="A32" s="50"/>
      <c r="B32" s="50"/>
      <c r="C32" s="50"/>
      <c r="D32" s="50"/>
      <c r="E32" s="50"/>
      <c r="F32" s="50"/>
      <c r="G32" s="50"/>
      <c r="H32" s="50"/>
      <c r="I32" s="50"/>
      <c r="J32" s="50"/>
      <c r="K32" s="50"/>
      <c r="L32" s="50"/>
      <c r="M32" s="50"/>
      <c r="N32" s="50"/>
    </row>
    <row r="33" spans="1:14" ht="13.4" customHeight="1" x14ac:dyDescent="0.35">
      <c r="A33" s="50"/>
      <c r="B33" s="50"/>
      <c r="C33" s="50"/>
      <c r="D33" s="50"/>
      <c r="E33" s="50"/>
      <c r="F33" s="50"/>
      <c r="G33" s="50"/>
      <c r="H33" s="50"/>
      <c r="I33" s="50"/>
      <c r="J33" s="50"/>
      <c r="K33" s="50"/>
      <c r="L33" s="50"/>
      <c r="M33" s="50"/>
      <c r="N33" s="50"/>
    </row>
    <row r="34" spans="1:14" ht="13.4" customHeight="1" x14ac:dyDescent="0.35">
      <c r="A34" s="50"/>
      <c r="B34" s="50"/>
      <c r="C34" s="50"/>
      <c r="D34" s="50"/>
      <c r="E34" s="50"/>
      <c r="F34" s="50"/>
      <c r="G34" s="50"/>
      <c r="H34" s="50"/>
      <c r="I34" s="50"/>
      <c r="J34" s="50"/>
      <c r="K34" s="50"/>
      <c r="L34" s="50"/>
      <c r="M34" s="50"/>
      <c r="N34" s="50"/>
    </row>
    <row r="35" spans="1:14" ht="13.4" customHeight="1" x14ac:dyDescent="0.35">
      <c r="A35" s="50"/>
      <c r="B35" s="50"/>
      <c r="C35" s="50"/>
      <c r="D35" s="50"/>
      <c r="E35" s="50"/>
      <c r="F35" s="50"/>
      <c r="G35" s="50"/>
      <c r="H35" s="50"/>
      <c r="I35" s="50"/>
      <c r="J35" s="50"/>
      <c r="K35" s="50"/>
      <c r="L35" s="50"/>
      <c r="M35" s="50"/>
      <c r="N35" s="50"/>
    </row>
    <row r="36" spans="1:14" ht="13.4" customHeight="1" x14ac:dyDescent="0.35">
      <c r="A36" s="50"/>
      <c r="B36" s="50"/>
      <c r="C36" s="50"/>
      <c r="D36" s="50"/>
      <c r="E36" s="50"/>
      <c r="F36" s="50"/>
      <c r="G36" s="50"/>
      <c r="H36" s="50"/>
      <c r="I36" s="50"/>
      <c r="J36" s="50"/>
      <c r="K36" s="50"/>
      <c r="L36" s="50"/>
      <c r="M36" s="50"/>
      <c r="N36" s="50"/>
    </row>
    <row r="37" spans="1:14" ht="13.4" customHeight="1" x14ac:dyDescent="0.35">
      <c r="A37" s="50"/>
      <c r="B37" s="50"/>
      <c r="C37" s="50"/>
      <c r="D37" s="50"/>
      <c r="E37" s="50"/>
      <c r="F37" s="50"/>
      <c r="G37" s="50"/>
      <c r="H37" s="50"/>
      <c r="I37" s="50"/>
      <c r="J37" s="50"/>
      <c r="K37" s="50"/>
      <c r="L37" s="50"/>
      <c r="M37" s="50"/>
      <c r="N37" s="50"/>
    </row>
    <row r="38" spans="1:14" ht="13.4" customHeight="1" x14ac:dyDescent="0.35">
      <c r="A38" s="50"/>
      <c r="B38" s="50"/>
      <c r="C38" s="50"/>
      <c r="D38" s="50"/>
      <c r="E38" s="50"/>
      <c r="F38" s="50"/>
      <c r="G38" s="50"/>
      <c r="H38" s="50"/>
      <c r="I38" s="50"/>
      <c r="J38" s="50"/>
      <c r="K38" s="50"/>
      <c r="L38" s="50"/>
      <c r="M38" s="50"/>
      <c r="N38" s="50"/>
    </row>
    <row r="39" spans="1:14" ht="13.4" customHeight="1" x14ac:dyDescent="0.35">
      <c r="A39" s="50"/>
      <c r="B39" s="50"/>
      <c r="C39" s="50"/>
      <c r="D39" s="50"/>
      <c r="E39" s="50"/>
      <c r="F39" s="50"/>
      <c r="G39" s="50"/>
      <c r="H39" s="50"/>
      <c r="I39" s="50"/>
      <c r="J39" s="50"/>
      <c r="K39" s="50"/>
      <c r="L39" s="50"/>
      <c r="M39" s="50"/>
      <c r="N39" s="50"/>
    </row>
    <row r="40" spans="1:14" ht="13.4" customHeight="1" x14ac:dyDescent="0.35">
      <c r="A40" s="50"/>
      <c r="B40" s="50"/>
      <c r="C40" s="50"/>
      <c r="D40" s="50"/>
      <c r="E40" s="50"/>
      <c r="F40" s="50"/>
      <c r="G40" s="50"/>
      <c r="H40" s="50"/>
      <c r="I40" s="50"/>
      <c r="J40" s="50"/>
      <c r="K40" s="50"/>
      <c r="L40" s="50"/>
      <c r="M40" s="50"/>
      <c r="N40" s="50"/>
    </row>
    <row r="41" spans="1:14" ht="13.4" customHeight="1" x14ac:dyDescent="0.35">
      <c r="A41" s="50"/>
      <c r="B41" s="50"/>
      <c r="C41" s="50"/>
      <c r="D41" s="50"/>
      <c r="E41" s="50"/>
      <c r="F41" s="50"/>
      <c r="G41" s="50"/>
      <c r="H41" s="50"/>
      <c r="I41" s="50"/>
      <c r="J41" s="50"/>
      <c r="K41" s="50"/>
      <c r="L41" s="50"/>
      <c r="M41" s="50"/>
      <c r="N41" s="50"/>
    </row>
    <row r="42" spans="1:14" ht="13.4" customHeight="1" x14ac:dyDescent="0.35">
      <c r="A42" s="50"/>
      <c r="B42" s="50"/>
      <c r="C42" s="50"/>
      <c r="D42" s="50"/>
      <c r="E42" s="50"/>
      <c r="F42" s="50"/>
      <c r="G42" s="50"/>
      <c r="H42" s="50"/>
      <c r="I42" s="50"/>
      <c r="J42" s="50"/>
      <c r="K42" s="50"/>
      <c r="L42" s="50"/>
      <c r="M42" s="50"/>
      <c r="N42" s="50"/>
    </row>
    <row r="43" spans="1:14" ht="13.4" customHeight="1" x14ac:dyDescent="0.35">
      <c r="A43" s="50"/>
      <c r="B43" s="50"/>
      <c r="C43" s="50"/>
      <c r="D43" s="50"/>
      <c r="E43" s="50"/>
      <c r="F43" s="50"/>
      <c r="G43" s="50"/>
      <c r="H43" s="50"/>
      <c r="I43" s="50"/>
      <c r="J43" s="50"/>
      <c r="K43" s="50"/>
      <c r="L43" s="50"/>
      <c r="M43" s="50"/>
      <c r="N43" s="50"/>
    </row>
    <row r="44" spans="1:14" ht="13.4" customHeight="1" x14ac:dyDescent="0.35">
      <c r="A44" s="50"/>
      <c r="B44" s="50"/>
      <c r="C44" s="50"/>
      <c r="D44" s="50"/>
      <c r="E44" s="50"/>
      <c r="F44" s="50"/>
      <c r="G44" s="50"/>
      <c r="H44" s="50"/>
      <c r="I44" s="50"/>
      <c r="J44" s="50"/>
      <c r="K44" s="50"/>
      <c r="L44" s="50"/>
      <c r="M44" s="50"/>
      <c r="N44" s="50"/>
    </row>
    <row r="45" spans="1:14" ht="13.4" customHeight="1" x14ac:dyDescent="0.35">
      <c r="A45" s="50"/>
      <c r="B45" s="50"/>
      <c r="C45" s="50"/>
      <c r="D45" s="50"/>
      <c r="E45" s="50"/>
      <c r="F45" s="50"/>
      <c r="G45" s="50"/>
      <c r="H45" s="50"/>
      <c r="I45" s="50"/>
      <c r="J45" s="50"/>
      <c r="K45" s="50"/>
      <c r="L45" s="50"/>
      <c r="M45" s="50"/>
      <c r="N45" s="50"/>
    </row>
    <row r="46" spans="1:14" ht="13.4" customHeight="1" x14ac:dyDescent="0.35">
      <c r="A46" s="50"/>
      <c r="B46" s="50"/>
      <c r="C46" s="50"/>
      <c r="D46" s="50"/>
      <c r="E46" s="50"/>
      <c r="F46" s="50"/>
      <c r="G46" s="50"/>
      <c r="H46" s="50"/>
      <c r="I46" s="50"/>
      <c r="J46" s="50"/>
      <c r="K46" s="50"/>
      <c r="L46" s="50"/>
      <c r="M46" s="50"/>
      <c r="N46" s="50"/>
    </row>
    <row r="47" spans="1:14" ht="13.4" customHeight="1" x14ac:dyDescent="0.35">
      <c r="A47" s="50"/>
      <c r="B47" s="50"/>
      <c r="C47" s="50"/>
      <c r="D47" s="50"/>
      <c r="E47" s="50"/>
      <c r="F47" s="50"/>
      <c r="G47" s="50"/>
      <c r="H47" s="50"/>
      <c r="I47" s="50"/>
      <c r="J47" s="50"/>
      <c r="K47" s="50"/>
      <c r="L47" s="50"/>
      <c r="M47" s="50"/>
      <c r="N47" s="50"/>
    </row>
    <row r="48" spans="1:14" ht="13.4" customHeight="1" x14ac:dyDescent="0.35">
      <c r="A48" s="50"/>
      <c r="B48" s="50"/>
      <c r="C48" s="50"/>
      <c r="D48" s="50"/>
      <c r="E48" s="50"/>
      <c r="F48" s="50"/>
      <c r="G48" s="50"/>
      <c r="H48" s="50"/>
      <c r="I48" s="50"/>
      <c r="J48" s="50"/>
      <c r="K48" s="50"/>
      <c r="L48" s="50"/>
      <c r="M48" s="50"/>
      <c r="N48" s="50"/>
    </row>
    <row r="49" spans="1:14" ht="13.4" customHeight="1" x14ac:dyDescent="0.35">
      <c r="A49" s="50"/>
      <c r="B49" s="50"/>
      <c r="C49" s="50"/>
      <c r="D49" s="50"/>
      <c r="E49" s="50"/>
      <c r="F49" s="50"/>
      <c r="G49" s="50"/>
      <c r="H49" s="50"/>
      <c r="I49" s="50"/>
      <c r="J49" s="50"/>
      <c r="K49" s="50"/>
      <c r="L49" s="50"/>
      <c r="M49" s="50"/>
      <c r="N49" s="50"/>
    </row>
    <row r="50" spans="1:14" ht="13.4" customHeight="1" x14ac:dyDescent="0.35">
      <c r="A50" s="50"/>
      <c r="B50" s="50"/>
      <c r="C50" s="50"/>
      <c r="D50" s="50"/>
      <c r="E50" s="50"/>
      <c r="F50" s="50"/>
      <c r="G50" s="50"/>
      <c r="H50" s="50"/>
      <c r="I50" s="50"/>
      <c r="J50" s="50"/>
      <c r="K50" s="50"/>
      <c r="L50" s="50"/>
      <c r="M50" s="50"/>
      <c r="N50" s="50"/>
    </row>
    <row r="51" spans="1:14" ht="13.4" customHeight="1" x14ac:dyDescent="0.35">
      <c r="A51" s="50"/>
      <c r="B51" s="50"/>
      <c r="C51" s="50"/>
      <c r="D51" s="50"/>
      <c r="E51" s="50"/>
      <c r="F51" s="50"/>
      <c r="G51" s="50"/>
      <c r="H51" s="50"/>
      <c r="I51" s="50"/>
      <c r="J51" s="50"/>
      <c r="K51" s="50"/>
      <c r="L51" s="50"/>
      <c r="M51" s="50"/>
      <c r="N51" s="50"/>
    </row>
    <row r="52" spans="1:14" ht="13.4" customHeight="1" x14ac:dyDescent="0.35">
      <c r="A52" s="50"/>
      <c r="B52" s="50"/>
      <c r="C52" s="50"/>
      <c r="D52" s="50"/>
      <c r="E52" s="50"/>
      <c r="F52" s="50"/>
      <c r="G52" s="50"/>
      <c r="H52" s="50"/>
      <c r="I52" s="50"/>
      <c r="J52" s="50"/>
      <c r="K52" s="50"/>
      <c r="L52" s="50"/>
      <c r="M52" s="50"/>
      <c r="N52" s="50"/>
    </row>
    <row r="53" spans="1:14" ht="13.4" customHeight="1" x14ac:dyDescent="0.35">
      <c r="A53" s="50"/>
      <c r="B53" s="50"/>
      <c r="C53" s="50"/>
      <c r="D53" s="50"/>
      <c r="E53" s="50"/>
      <c r="F53" s="50"/>
      <c r="G53" s="50"/>
      <c r="H53" s="50"/>
      <c r="I53" s="50"/>
      <c r="J53" s="50"/>
      <c r="K53" s="50"/>
      <c r="L53" s="50"/>
      <c r="M53" s="50"/>
      <c r="N53" s="50"/>
    </row>
    <row r="54" spans="1:14" ht="13.4" customHeight="1" x14ac:dyDescent="0.35">
      <c r="A54" s="50"/>
      <c r="B54" s="50"/>
      <c r="C54" s="50"/>
      <c r="D54" s="50"/>
      <c r="E54" s="50"/>
      <c r="F54" s="50"/>
      <c r="G54" s="50"/>
      <c r="H54" s="50"/>
      <c r="I54" s="50"/>
      <c r="J54" s="50"/>
      <c r="K54" s="50"/>
      <c r="L54" s="50"/>
      <c r="M54" s="50"/>
      <c r="N54" s="50"/>
    </row>
    <row r="55" spans="1:14" ht="13.4" customHeight="1" x14ac:dyDescent="0.35">
      <c r="A55" s="50"/>
      <c r="B55" s="50"/>
      <c r="C55" s="50"/>
      <c r="D55" s="50"/>
      <c r="E55" s="50"/>
      <c r="F55" s="50"/>
      <c r="G55" s="50"/>
      <c r="H55" s="50"/>
      <c r="I55" s="50"/>
      <c r="J55" s="50"/>
      <c r="K55" s="50"/>
      <c r="L55" s="50"/>
      <c r="M55" s="50"/>
      <c r="N55" s="50"/>
    </row>
    <row r="56" spans="1:14" ht="13.4" customHeight="1" x14ac:dyDescent="0.35">
      <c r="A56" s="50"/>
      <c r="B56" s="50"/>
      <c r="C56" s="50"/>
      <c r="D56" s="50"/>
      <c r="E56" s="50"/>
      <c r="F56" s="50"/>
      <c r="G56" s="50"/>
      <c r="H56" s="50"/>
      <c r="I56" s="50"/>
      <c r="J56" s="50"/>
      <c r="K56" s="50"/>
      <c r="L56" s="50"/>
      <c r="M56" s="50"/>
      <c r="N56" s="50"/>
    </row>
    <row r="57" spans="1:14" ht="13.4" customHeight="1" x14ac:dyDescent="0.35">
      <c r="A57" s="50"/>
      <c r="B57" s="50"/>
      <c r="C57" s="50"/>
      <c r="D57" s="50"/>
      <c r="E57" s="50"/>
      <c r="F57" s="50"/>
      <c r="G57" s="50"/>
      <c r="H57" s="50"/>
      <c r="I57" s="50"/>
      <c r="J57" s="50"/>
      <c r="K57" s="50"/>
      <c r="L57" s="50"/>
      <c r="M57" s="50"/>
      <c r="N57" s="50"/>
    </row>
    <row r="58" spans="1:14" ht="13.4" customHeight="1" x14ac:dyDescent="0.35">
      <c r="A58" s="50"/>
      <c r="B58" s="50"/>
      <c r="C58" s="50"/>
      <c r="D58" s="50"/>
      <c r="E58" s="50"/>
      <c r="F58" s="50"/>
      <c r="G58" s="50"/>
      <c r="H58" s="50"/>
      <c r="I58" s="50"/>
      <c r="J58" s="50"/>
      <c r="K58" s="50"/>
      <c r="L58" s="50"/>
      <c r="M58" s="50"/>
      <c r="N58" s="50"/>
    </row>
    <row r="59" spans="1:14" ht="13.4" customHeight="1" x14ac:dyDescent="0.35">
      <c r="A59" s="50"/>
      <c r="B59" s="50"/>
      <c r="C59" s="50"/>
      <c r="D59" s="50"/>
      <c r="E59" s="50"/>
      <c r="F59" s="50"/>
      <c r="G59" s="50"/>
      <c r="H59" s="50"/>
      <c r="I59" s="50"/>
      <c r="J59" s="50"/>
      <c r="K59" s="50"/>
      <c r="L59" s="50"/>
      <c r="M59" s="50"/>
      <c r="N59" s="50"/>
    </row>
    <row r="60" spans="1:14" ht="13.4" customHeight="1" x14ac:dyDescent="0.35">
      <c r="A60" s="50"/>
      <c r="B60" s="50"/>
      <c r="C60" s="50"/>
      <c r="D60" s="50"/>
      <c r="E60" s="50"/>
      <c r="F60" s="50"/>
      <c r="G60" s="50"/>
      <c r="H60" s="50"/>
      <c r="I60" s="50"/>
      <c r="J60" s="50"/>
      <c r="K60" s="50"/>
      <c r="L60" s="50"/>
      <c r="M60" s="50"/>
      <c r="N60" s="50"/>
    </row>
  </sheetData>
  <mergeCells count="11">
    <mergeCell ref="A11:N11"/>
    <mergeCell ref="A1:N2"/>
    <mergeCell ref="A3:N3"/>
    <mergeCell ref="A6:C8"/>
    <mergeCell ref="A5:C5"/>
    <mergeCell ref="E6:G8"/>
    <mergeCell ref="E5:G5"/>
    <mergeCell ref="I6:K8"/>
    <mergeCell ref="I5:K5"/>
    <mergeCell ref="M6:N8"/>
    <mergeCell ref="M5:N5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10</vt:i4>
      </vt:variant>
    </vt:vector>
  </HeadingPairs>
  <TitlesOfParts>
    <vt:vector size="10" baseType="lpstr">
      <vt:lpstr>Data_Booking</vt:lpstr>
      <vt:lpstr>Data_SI</vt:lpstr>
      <vt:lpstr>Data_CustomerActive</vt:lpstr>
      <vt:lpstr>Data_Issue</vt:lpstr>
      <vt:lpstr>Customer_Feedback</vt:lpstr>
      <vt:lpstr>Overview</vt:lpstr>
      <vt:lpstr>Customer Adoption</vt:lpstr>
      <vt:lpstr>Booking Details</vt:lpstr>
      <vt:lpstr>User Issues</vt:lpstr>
      <vt:lpstr>Enhancement Requests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NGUYEN THI BICH NGOC</dc:creator>
  <cp:lastModifiedBy>nguyenbich.ngoc(YLVN)</cp:lastModifiedBy>
  <dcterms:created xsi:type="dcterms:W3CDTF">2026-07-28T10:16:43Z</dcterms:created>
  <dcterms:modified xsi:type="dcterms:W3CDTF">2026-07-28T15:28:33Z</dcterms:modified>
</cp:coreProperties>
</file>